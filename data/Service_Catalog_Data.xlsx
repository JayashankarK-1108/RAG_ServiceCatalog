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fileSharing readOnlyRecommended="1"/>
  <workbookPr codeName="ThisWorkbook"/>
  <mc:AlternateContent xmlns:mc="http://schemas.openxmlformats.org/markup-compatibility/2006">
    <mc:Choice Requires="x15">
      <x15ac:absPath xmlns:x15ac="http://schemas.microsoft.com/office/spreadsheetml/2010/11/ac" url="https://cognizantonline-my.sharepoint.com/personal/302172_cognizant_com/Documents/Desktop/RAG_ServiceCatalog/data/"/>
    </mc:Choice>
  </mc:AlternateContent>
  <xr:revisionPtr revIDLastSave="6" documentId="8_{38DBFEA2-AD76-4B35-B8CC-E15084096FD1}" xr6:coauthVersionLast="47" xr6:coauthVersionMax="47" xr10:uidLastSave="{5702A124-0DF2-4644-B985-363779AE6991}"/>
  <bookViews>
    <workbookView xWindow="-120" yWindow="-120" windowWidth="20730" windowHeight="11040" tabRatio="744" firstSheet="3" activeTab="3" xr2:uid="{00000000-000D-0000-FFFF-FFFF00000000}"/>
  </bookViews>
  <sheets>
    <sheet name="How TO" sheetId="14" state="hidden" r:id="rId1"/>
    <sheet name="Guiding Principles" sheetId="16" state="hidden" r:id="rId2"/>
    <sheet name="Version History" sheetId="26" state="hidden" r:id="rId3"/>
    <sheet name="IMS - PMS - WU Catalog" sheetId="1" r:id="rId4"/>
    <sheet name="Deletions" sheetId="25" state="hidden" r:id="rId5"/>
    <sheet name="PT-AIMS" sheetId="23" state="hidden" r:id="rId6"/>
    <sheet name="PT-AIMS (2)" sheetId="24" state="hidden" r:id="rId7"/>
  </sheets>
  <definedNames>
    <definedName name="_xlnm._FilterDatabase" localSheetId="3" hidden="1">'IMS - PMS - WU Catalog'!$AG$84:$AG$84</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76" i="1" l="1"/>
  <c r="W376" i="1"/>
  <c r="AA376" i="1"/>
  <c r="O375" i="1"/>
  <c r="W375" i="1"/>
  <c r="X376" i="1" s="1" a="1"/>
  <c r="X376" i="1" s="1"/>
  <c r="AA375" i="1"/>
  <c r="AA3" i="25"/>
  <c r="W3" i="25"/>
  <c r="O3" i="25"/>
  <c r="AA2" i="25"/>
  <c r="W2" i="25"/>
  <c r="O2" i="25"/>
  <c r="AA370" i="1"/>
  <c r="AA371" i="1"/>
  <c r="AA372" i="1"/>
  <c r="AA373" i="1"/>
  <c r="AA374" i="1"/>
  <c r="W374" i="1"/>
  <c r="X375" i="1" s="1" a="1"/>
  <c r="X375" i="1" s="1"/>
  <c r="O374" i="1"/>
  <c r="W373" i="1"/>
  <c r="X374" i="1" s="1" a="1"/>
  <c r="X374" i="1" s="1"/>
  <c r="O373" i="1"/>
  <c r="W372" i="1"/>
  <c r="X373" i="1" s="1" a="1"/>
  <c r="X373" i="1" s="1"/>
  <c r="O372" i="1"/>
  <c r="W371" i="1"/>
  <c r="X372" i="1" s="1" a="1"/>
  <c r="X372" i="1" s="1"/>
  <c r="O371" i="1"/>
  <c r="W370" i="1"/>
  <c r="X371" i="1" s="1" a="1"/>
  <c r="X371" i="1" s="1"/>
  <c r="O370" i="1"/>
  <c r="X2" i="1" a="1"/>
  <c r="X2" i="1" s="1"/>
  <c r="Y2" i="1"/>
  <c r="Y3" i="1"/>
  <c r="Y4" i="1"/>
  <c r="Y5" i="1"/>
  <c r="Y6" i="1"/>
  <c r="Y7" i="1"/>
  <c r="Y8" i="1"/>
  <c r="Y9" i="1"/>
  <c r="Y10" i="1"/>
  <c r="Y11" i="1"/>
  <c r="Y12" i="1"/>
  <c r="Y13" i="1"/>
  <c r="Y14" i="1"/>
  <c r="Y15" i="1"/>
  <c r="Y16" i="1"/>
  <c r="Y17" i="1"/>
  <c r="Y18" i="1"/>
  <c r="Y19" i="1"/>
  <c r="Y20" i="1"/>
  <c r="Y70" i="1"/>
  <c r="Y71" i="1"/>
  <c r="Y72" i="1"/>
  <c r="Y73" i="1"/>
  <c r="Y141" i="1"/>
  <c r="Y142" i="1"/>
  <c r="Y153" i="1"/>
  <c r="Y155" i="1"/>
  <c r="Y156" i="1"/>
  <c r="Y157" i="1"/>
  <c r="Y158" i="1"/>
  <c r="Y159" i="1"/>
  <c r="Y160" i="1"/>
  <c r="Y161" i="1"/>
  <c r="Y162" i="1"/>
  <c r="Y163"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45" i="1"/>
  <c r="Y258" i="1"/>
  <c r="Y262" i="1"/>
  <c r="Y263" i="1"/>
  <c r="Y264" i="1"/>
  <c r="Y266" i="1"/>
  <c r="Y267" i="1"/>
  <c r="Y268" i="1"/>
  <c r="Y270" i="1"/>
  <c r="Y271" i="1"/>
  <c r="Y273" i="1"/>
  <c r="Y275" i="1"/>
  <c r="Y276" i="1"/>
  <c r="Y277" i="1"/>
  <c r="Y279" i="1"/>
  <c r="Y280" i="1"/>
  <c r="Y282" i="1"/>
  <c r="Y283" i="1"/>
  <c r="Y284" i="1"/>
  <c r="Y287" i="1"/>
  <c r="Y288" i="1"/>
  <c r="Y289" i="1"/>
  <c r="Y290" i="1"/>
  <c r="Y303" i="1"/>
  <c r="Y304" i="1"/>
  <c r="Y315" i="1"/>
  <c r="Y320" i="1"/>
  <c r="Y322" i="1"/>
  <c r="Y324" i="1"/>
  <c r="Y327" i="1"/>
  <c r="Y330" i="1"/>
  <c r="Y331" i="1"/>
  <c r="Y332" i="1"/>
  <c r="Y333" i="1"/>
  <c r="Y334" i="1"/>
  <c r="Y335" i="1"/>
  <c r="Y336" i="1"/>
  <c r="Y337" i="1"/>
  <c r="Y338" i="1"/>
  <c r="Y353" i="1"/>
  <c r="Y361" i="1"/>
  <c r="Y339" i="1"/>
  <c r="Y340" i="1"/>
  <c r="Y369" i="1"/>
  <c r="AA369" i="1"/>
  <c r="W369" i="1"/>
  <c r="X370" i="1" s="1" a="1"/>
  <c r="X370" i="1" s="1"/>
  <c r="O369" i="1"/>
  <c r="Y375" i="1" l="1"/>
  <c r="Y376" i="1"/>
  <c r="Y370" i="1"/>
  <c r="Y371" i="1"/>
  <c r="Y372" i="1"/>
  <c r="Y373" i="1"/>
  <c r="Y374" i="1"/>
  <c r="AA2" i="1" l="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17" i="1"/>
  <c r="AA206" i="1"/>
  <c r="AA218" i="1"/>
  <c r="AA207" i="1"/>
  <c r="AA208" i="1"/>
  <c r="AA209" i="1"/>
  <c r="AA210" i="1"/>
  <c r="AA211" i="1"/>
  <c r="AA212" i="1"/>
  <c r="AA213" i="1"/>
  <c r="AA214" i="1"/>
  <c r="AA215" i="1"/>
  <c r="AA216"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77" i="1"/>
  <c r="AA259" i="1"/>
  <c r="AA260" i="1"/>
  <c r="AA261" i="1"/>
  <c r="AA279" i="1"/>
  <c r="AA280" i="1"/>
  <c r="AA282" i="1"/>
  <c r="AA265" i="1"/>
  <c r="AA283" i="1"/>
  <c r="AA284" i="1"/>
  <c r="AA270" i="1"/>
  <c r="AA269" i="1"/>
  <c r="AA271" i="1"/>
  <c r="AA273" i="1"/>
  <c r="AA272" i="1"/>
  <c r="AA275" i="1"/>
  <c r="AA274" i="1"/>
  <c r="AA287" i="1"/>
  <c r="AA276" i="1"/>
  <c r="AA322" i="1"/>
  <c r="AA278" i="1"/>
  <c r="AA258" i="1"/>
  <c r="AA262" i="1"/>
  <c r="AA281" i="1"/>
  <c r="AA263" i="1"/>
  <c r="AA264" i="1"/>
  <c r="AA266" i="1"/>
  <c r="AA285" i="1"/>
  <c r="AA286" i="1"/>
  <c r="AA288" i="1"/>
  <c r="AA267" i="1"/>
  <c r="AA268" i="1"/>
  <c r="AA289" i="1"/>
  <c r="AA291" i="1"/>
  <c r="AA292" i="1"/>
  <c r="AA293" i="1"/>
  <c r="AA294" i="1"/>
  <c r="AA295" i="1"/>
  <c r="AA296" i="1"/>
  <c r="AA297" i="1"/>
  <c r="AA298" i="1"/>
  <c r="AA299" i="1"/>
  <c r="AA300" i="1"/>
  <c r="AA301" i="1"/>
  <c r="AA302" i="1"/>
  <c r="AA290" i="1"/>
  <c r="AA303" i="1"/>
  <c r="AA305" i="1"/>
  <c r="AA306" i="1"/>
  <c r="AA307" i="1"/>
  <c r="AA308" i="1"/>
  <c r="AA309" i="1"/>
  <c r="AA310" i="1"/>
  <c r="AA311" i="1"/>
  <c r="AA312" i="1"/>
  <c r="AA313" i="1"/>
  <c r="AA314" i="1"/>
  <c r="AA304" i="1"/>
  <c r="AA316" i="1"/>
  <c r="AA317" i="1"/>
  <c r="AA318" i="1"/>
  <c r="AA319" i="1"/>
  <c r="AA315" i="1"/>
  <c r="AA321" i="1"/>
  <c r="AA320" i="1"/>
  <c r="AA323" i="1"/>
  <c r="AA324" i="1"/>
  <c r="AA325" i="1"/>
  <c r="AA326" i="1"/>
  <c r="AA327" i="1"/>
  <c r="AA328" i="1"/>
  <c r="AA329" i="1"/>
  <c r="AA330" i="1"/>
  <c r="AA331" i="1"/>
  <c r="AA332" i="1"/>
  <c r="AA341" i="1"/>
  <c r="AA342" i="1"/>
  <c r="AA343" i="1"/>
  <c r="AA344" i="1"/>
  <c r="AA345" i="1"/>
  <c r="AA346" i="1"/>
  <c r="AA347" i="1"/>
  <c r="AA348" i="1"/>
  <c r="AA349" i="1"/>
  <c r="AA350" i="1"/>
  <c r="AA352" i="1"/>
  <c r="AA354" i="1"/>
  <c r="AA355" i="1"/>
  <c r="AA333" i="1"/>
  <c r="AA334" i="1"/>
  <c r="AA335" i="1"/>
  <c r="AA336" i="1"/>
  <c r="AA337" i="1"/>
  <c r="AA351" i="1"/>
  <c r="AA353" i="1"/>
  <c r="AA361" i="1"/>
  <c r="AA356" i="1"/>
  <c r="AA357" i="1"/>
  <c r="AA358" i="1"/>
  <c r="AA359" i="1"/>
  <c r="AA360" i="1"/>
  <c r="AA362" i="1"/>
  <c r="AA363" i="1"/>
  <c r="AA339" i="1"/>
  <c r="AA340" i="1"/>
  <c r="AA338" i="1"/>
  <c r="AA364" i="1"/>
  <c r="AA365" i="1"/>
  <c r="AA366" i="1"/>
  <c r="AA367" i="1"/>
  <c r="AA368" i="1"/>
  <c r="O147" i="1"/>
  <c r="O192" i="1"/>
  <c r="O219" i="1" l="1"/>
  <c r="O326" i="1" l="1"/>
  <c r="O325" i="1"/>
  <c r="O81" i="1" l="1"/>
  <c r="O364" i="1"/>
  <c r="O293" i="1"/>
  <c r="O294" i="1"/>
  <c r="O295" i="1"/>
  <c r="O296" i="1"/>
  <c r="O297" i="1"/>
  <c r="O298" i="1"/>
  <c r="O299" i="1"/>
  <c r="O300" i="1"/>
  <c r="O301" i="1"/>
  <c r="O302" i="1"/>
  <c r="O290" i="1"/>
  <c r="O303" i="1"/>
  <c r="O305" i="1"/>
  <c r="O306" i="1"/>
  <c r="O307" i="1"/>
  <c r="O308" i="1"/>
  <c r="O309" i="1"/>
  <c r="O310" i="1"/>
  <c r="O311" i="1"/>
  <c r="O312" i="1"/>
  <c r="O313" i="1"/>
  <c r="O314" i="1"/>
  <c r="O304" i="1"/>
  <c r="O316" i="1"/>
  <c r="O317" i="1"/>
  <c r="O318" i="1"/>
  <c r="O319" i="1"/>
  <c r="O315" i="1"/>
  <c r="O321" i="1"/>
  <c r="O320" i="1"/>
  <c r="O323" i="1"/>
  <c r="O324" i="1"/>
  <c r="O327" i="1"/>
  <c r="O328" i="1"/>
  <c r="O329" i="1"/>
  <c r="O330" i="1"/>
  <c r="O331" i="1"/>
  <c r="O332" i="1"/>
  <c r="O341" i="1"/>
  <c r="O342" i="1"/>
  <c r="O343" i="1"/>
  <c r="O344" i="1"/>
  <c r="O345" i="1"/>
  <c r="O346" i="1"/>
  <c r="O347" i="1"/>
  <c r="O348" i="1"/>
  <c r="O349" i="1"/>
  <c r="O350" i="1"/>
  <c r="O352" i="1"/>
  <c r="O354" i="1"/>
  <c r="O355" i="1"/>
  <c r="O333" i="1"/>
  <c r="O334" i="1"/>
  <c r="O335" i="1"/>
  <c r="O336" i="1"/>
  <c r="O337" i="1"/>
  <c r="O351" i="1"/>
  <c r="O353" i="1"/>
  <c r="O361" i="1"/>
  <c r="O356" i="1"/>
  <c r="O357" i="1"/>
  <c r="O358" i="1"/>
  <c r="O359" i="1"/>
  <c r="O360" i="1"/>
  <c r="O362" i="1"/>
  <c r="O363" i="1"/>
  <c r="O339" i="1"/>
  <c r="O340" i="1"/>
  <c r="O338" i="1"/>
  <c r="O365" i="1"/>
  <c r="O366" i="1"/>
  <c r="O367" i="1"/>
  <c r="O368"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3" i="1"/>
  <c r="O194" i="1"/>
  <c r="O195" i="1"/>
  <c r="O196" i="1"/>
  <c r="O197" i="1"/>
  <c r="O198" i="1"/>
  <c r="O199" i="1"/>
  <c r="O200" i="1"/>
  <c r="O201" i="1"/>
  <c r="O202" i="1"/>
  <c r="O203" i="1"/>
  <c r="O204" i="1"/>
  <c r="O205" i="1"/>
  <c r="O217" i="1"/>
  <c r="O206" i="1"/>
  <c r="O218" i="1"/>
  <c r="O207" i="1"/>
  <c r="O208" i="1"/>
  <c r="O209" i="1"/>
  <c r="O210" i="1"/>
  <c r="O211" i="1"/>
  <c r="O212" i="1"/>
  <c r="O213" i="1"/>
  <c r="O214" i="1"/>
  <c r="O215" i="1"/>
  <c r="O216"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77" i="1"/>
  <c r="O259" i="1"/>
  <c r="O260" i="1"/>
  <c r="O261" i="1"/>
  <c r="O279" i="1"/>
  <c r="O280" i="1"/>
  <c r="O282" i="1"/>
  <c r="O265" i="1"/>
  <c r="O283" i="1"/>
  <c r="O284" i="1"/>
  <c r="O270" i="1"/>
  <c r="O269" i="1"/>
  <c r="O271" i="1"/>
  <c r="O273" i="1"/>
  <c r="O272" i="1"/>
  <c r="O275" i="1"/>
  <c r="O274" i="1"/>
  <c r="O287" i="1"/>
  <c r="O276" i="1"/>
  <c r="O322" i="1"/>
  <c r="O278" i="1"/>
  <c r="O258" i="1"/>
  <c r="O262" i="1"/>
  <c r="O281" i="1"/>
  <c r="O263" i="1"/>
  <c r="O264" i="1"/>
  <c r="O266" i="1"/>
  <c r="O285" i="1"/>
  <c r="O286" i="1"/>
  <c r="O288" i="1"/>
  <c r="O267" i="1"/>
  <c r="O268" i="1"/>
  <c r="O289" i="1"/>
  <c r="O291" i="1"/>
  <c r="O292" i="1"/>
  <c r="W364" i="1"/>
  <c r="X365" i="1" s="1" a="1"/>
  <c r="X365" i="1" s="1"/>
  <c r="W365" i="1"/>
  <c r="X366" i="1" s="1" a="1"/>
  <c r="X366" i="1" s="1"/>
  <c r="W366" i="1"/>
  <c r="X367" i="1" s="1" a="1"/>
  <c r="X367" i="1" s="1"/>
  <c r="W367" i="1"/>
  <c r="X368" i="1" s="1" a="1"/>
  <c r="X368" i="1" s="1"/>
  <c r="W368" i="1"/>
  <c r="X369" i="1" s="1" a="1"/>
  <c r="X369" i="1" s="1"/>
  <c r="Y368" i="1" l="1"/>
  <c r="Y367" i="1"/>
  <c r="Y366" i="1"/>
  <c r="Y365" i="1"/>
  <c r="O2" i="1" l="1"/>
  <c r="W3" i="1"/>
  <c r="X4" i="1" s="1" a="1"/>
  <c r="X4" i="1" s="1"/>
  <c r="W4" i="1"/>
  <c r="X5" i="1" s="1" a="1"/>
  <c r="X5" i="1" s="1"/>
  <c r="W5" i="1"/>
  <c r="X6" i="1" s="1" a="1"/>
  <c r="X6" i="1" s="1"/>
  <c r="W6" i="1"/>
  <c r="X7" i="1" s="1" a="1"/>
  <c r="X7" i="1" s="1"/>
  <c r="W7" i="1"/>
  <c r="X8" i="1" s="1" a="1"/>
  <c r="X8" i="1" s="1"/>
  <c r="W8" i="1"/>
  <c r="X9" i="1" s="1" a="1"/>
  <c r="X9" i="1" s="1"/>
  <c r="W9" i="1"/>
  <c r="X10" i="1" s="1" a="1"/>
  <c r="X10" i="1" s="1"/>
  <c r="W10" i="1"/>
  <c r="X11" i="1" s="1" a="1"/>
  <c r="X11" i="1" s="1"/>
  <c r="W11" i="1"/>
  <c r="X12" i="1" s="1" a="1"/>
  <c r="X12" i="1" s="1"/>
  <c r="W12" i="1"/>
  <c r="X13" i="1" s="1" a="1"/>
  <c r="X13" i="1" s="1"/>
  <c r="W13" i="1"/>
  <c r="X14" i="1" s="1" a="1"/>
  <c r="X14" i="1" s="1"/>
  <c r="W14" i="1"/>
  <c r="X15" i="1" s="1" a="1"/>
  <c r="X15" i="1" s="1"/>
  <c r="W15" i="1"/>
  <c r="X16" i="1" s="1" a="1"/>
  <c r="X16" i="1" s="1"/>
  <c r="W16" i="1"/>
  <c r="X17" i="1" s="1" a="1"/>
  <c r="X17" i="1" s="1"/>
  <c r="W17" i="1"/>
  <c r="X18" i="1" s="1" a="1"/>
  <c r="X18" i="1" s="1"/>
  <c r="W18" i="1"/>
  <c r="X19" i="1" s="1" a="1"/>
  <c r="X19" i="1" s="1"/>
  <c r="W19" i="1"/>
  <c r="X20" i="1" s="1" a="1"/>
  <c r="X20" i="1" s="1"/>
  <c r="W20" i="1"/>
  <c r="X21" i="1" s="1" a="1"/>
  <c r="X21" i="1" s="1"/>
  <c r="Y21" i="1" s="1"/>
  <c r="W21" i="1"/>
  <c r="X22" i="1" s="1" a="1"/>
  <c r="X22" i="1" s="1"/>
  <c r="Y22" i="1" s="1"/>
  <c r="W22" i="1"/>
  <c r="X23" i="1" s="1" a="1"/>
  <c r="X23" i="1" s="1"/>
  <c r="Y23" i="1" s="1"/>
  <c r="W23" i="1"/>
  <c r="X24" i="1" s="1" a="1"/>
  <c r="X24" i="1" s="1"/>
  <c r="Y24" i="1" s="1"/>
  <c r="W24" i="1"/>
  <c r="X25" i="1" s="1" a="1"/>
  <c r="X25" i="1" s="1"/>
  <c r="Y25" i="1" s="1"/>
  <c r="W25" i="1"/>
  <c r="X26" i="1" s="1" a="1"/>
  <c r="X26" i="1" s="1"/>
  <c r="Y26" i="1" s="1"/>
  <c r="W26" i="1"/>
  <c r="X27" i="1" s="1" a="1"/>
  <c r="X27" i="1" s="1"/>
  <c r="Y27" i="1" s="1"/>
  <c r="W27" i="1"/>
  <c r="X28" i="1" s="1" a="1"/>
  <c r="X28" i="1" s="1"/>
  <c r="Y28" i="1" s="1"/>
  <c r="W28" i="1"/>
  <c r="X29" i="1" s="1" a="1"/>
  <c r="X29" i="1" s="1"/>
  <c r="Y29" i="1" s="1"/>
  <c r="W29" i="1"/>
  <c r="X30" i="1" s="1" a="1"/>
  <c r="X30" i="1" s="1"/>
  <c r="Y30" i="1" s="1"/>
  <c r="W30" i="1"/>
  <c r="X31" i="1" s="1" a="1"/>
  <c r="X31" i="1" s="1"/>
  <c r="Y31" i="1" s="1"/>
  <c r="W31" i="1"/>
  <c r="X32" i="1" s="1" a="1"/>
  <c r="X32" i="1" s="1"/>
  <c r="Y32" i="1" s="1"/>
  <c r="W32" i="1"/>
  <c r="X33" i="1" s="1" a="1"/>
  <c r="X33" i="1" s="1"/>
  <c r="Y33" i="1" s="1"/>
  <c r="W33" i="1"/>
  <c r="X34" i="1" s="1" a="1"/>
  <c r="X34" i="1" s="1"/>
  <c r="Y34" i="1" s="1"/>
  <c r="W34" i="1"/>
  <c r="X35" i="1" s="1" a="1"/>
  <c r="X35" i="1" s="1"/>
  <c r="Y35" i="1" s="1"/>
  <c r="W35" i="1"/>
  <c r="X36" i="1" s="1" a="1"/>
  <c r="X36" i="1" s="1"/>
  <c r="Y36" i="1" s="1"/>
  <c r="W36" i="1"/>
  <c r="X37" i="1" s="1" a="1"/>
  <c r="X37" i="1" s="1"/>
  <c r="Y37" i="1" s="1"/>
  <c r="W37" i="1"/>
  <c r="X38" i="1" s="1" a="1"/>
  <c r="X38" i="1" s="1"/>
  <c r="Y38" i="1" s="1"/>
  <c r="W38" i="1"/>
  <c r="X39" i="1" s="1" a="1"/>
  <c r="X39" i="1" s="1"/>
  <c r="Y39" i="1" s="1"/>
  <c r="W39" i="1"/>
  <c r="X40" i="1" s="1" a="1"/>
  <c r="X40" i="1" s="1"/>
  <c r="Y40" i="1" s="1"/>
  <c r="W40" i="1"/>
  <c r="X41" i="1" s="1" a="1"/>
  <c r="X41" i="1" s="1"/>
  <c r="Y41" i="1" s="1"/>
  <c r="W41" i="1"/>
  <c r="X42" i="1" s="1" a="1"/>
  <c r="X42" i="1" s="1"/>
  <c r="Y42" i="1" s="1"/>
  <c r="W42" i="1"/>
  <c r="X43" i="1" s="1" a="1"/>
  <c r="X43" i="1" s="1"/>
  <c r="Y43" i="1" s="1"/>
  <c r="W43" i="1"/>
  <c r="X44" i="1" s="1" a="1"/>
  <c r="X44" i="1" s="1"/>
  <c r="Y44" i="1" s="1"/>
  <c r="W44" i="1"/>
  <c r="X45" i="1" s="1" a="1"/>
  <c r="X45" i="1" s="1"/>
  <c r="Y45" i="1" s="1"/>
  <c r="W45" i="1"/>
  <c r="X46" i="1" s="1" a="1"/>
  <c r="X46" i="1" s="1"/>
  <c r="Y46" i="1" s="1"/>
  <c r="W46" i="1"/>
  <c r="X47" i="1" s="1" a="1"/>
  <c r="X47" i="1" s="1"/>
  <c r="Y47" i="1" s="1"/>
  <c r="W47" i="1"/>
  <c r="X48" i="1" s="1" a="1"/>
  <c r="X48" i="1" s="1"/>
  <c r="Y48" i="1" s="1"/>
  <c r="W48" i="1"/>
  <c r="X49" i="1" s="1" a="1"/>
  <c r="X49" i="1" s="1"/>
  <c r="Y49" i="1" s="1"/>
  <c r="W49" i="1"/>
  <c r="X50" i="1" s="1" a="1"/>
  <c r="X50" i="1" s="1"/>
  <c r="Y50" i="1" s="1"/>
  <c r="W50" i="1"/>
  <c r="X51" i="1" s="1" a="1"/>
  <c r="X51" i="1" s="1"/>
  <c r="Y51" i="1" s="1"/>
  <c r="W51" i="1"/>
  <c r="X52" i="1" s="1" a="1"/>
  <c r="X52" i="1" s="1"/>
  <c r="Y52" i="1" s="1"/>
  <c r="W52" i="1"/>
  <c r="X53" i="1" s="1" a="1"/>
  <c r="X53" i="1" s="1"/>
  <c r="Y53" i="1" s="1"/>
  <c r="W53" i="1"/>
  <c r="X54" i="1" s="1" a="1"/>
  <c r="X54" i="1" s="1"/>
  <c r="Y54" i="1" s="1"/>
  <c r="W54" i="1"/>
  <c r="X55" i="1" s="1" a="1"/>
  <c r="X55" i="1" s="1"/>
  <c r="Y55" i="1" s="1"/>
  <c r="W55" i="1"/>
  <c r="X56" i="1" s="1" a="1"/>
  <c r="X56" i="1" s="1"/>
  <c r="Y56" i="1" s="1"/>
  <c r="W56" i="1"/>
  <c r="X57" i="1" s="1" a="1"/>
  <c r="X57" i="1" s="1"/>
  <c r="Y57" i="1" s="1"/>
  <c r="W57" i="1"/>
  <c r="X58" i="1" s="1" a="1"/>
  <c r="X58" i="1" s="1"/>
  <c r="Y58" i="1" s="1"/>
  <c r="W58" i="1"/>
  <c r="X59" i="1" s="1" a="1"/>
  <c r="X59" i="1" s="1"/>
  <c r="Y59" i="1" s="1"/>
  <c r="W59" i="1"/>
  <c r="X60" i="1" s="1" a="1"/>
  <c r="X60" i="1" s="1"/>
  <c r="Y60" i="1" s="1"/>
  <c r="W60" i="1"/>
  <c r="X61" i="1" s="1" a="1"/>
  <c r="X61" i="1" s="1"/>
  <c r="Y61" i="1" s="1"/>
  <c r="W61" i="1"/>
  <c r="X62" i="1" s="1" a="1"/>
  <c r="X62" i="1" s="1"/>
  <c r="Y62" i="1" s="1"/>
  <c r="W62" i="1"/>
  <c r="X63" i="1" s="1" a="1"/>
  <c r="X63" i="1" s="1"/>
  <c r="Y63" i="1" s="1"/>
  <c r="W63" i="1"/>
  <c r="X64" i="1" s="1" a="1"/>
  <c r="X64" i="1" s="1"/>
  <c r="Y64" i="1" s="1"/>
  <c r="W64" i="1"/>
  <c r="X65" i="1" s="1" a="1"/>
  <c r="X65" i="1" s="1"/>
  <c r="Y65" i="1" s="1"/>
  <c r="W65" i="1"/>
  <c r="X66" i="1" s="1" a="1"/>
  <c r="X66" i="1" s="1"/>
  <c r="Y66" i="1" s="1"/>
  <c r="W66" i="1"/>
  <c r="X67" i="1" s="1" a="1"/>
  <c r="X67" i="1" s="1"/>
  <c r="Y67" i="1" s="1"/>
  <c r="W67" i="1"/>
  <c r="X68" i="1" s="1" a="1"/>
  <c r="X68" i="1" s="1"/>
  <c r="Y68" i="1" s="1"/>
  <c r="W68" i="1"/>
  <c r="X69" i="1" s="1" a="1"/>
  <c r="X69" i="1" s="1"/>
  <c r="Y69" i="1" s="1"/>
  <c r="W69" i="1"/>
  <c r="X2" i="25" s="1" a="1"/>
  <c r="X2" i="25" s="1"/>
  <c r="Y2" i="25" s="1"/>
  <c r="X70" i="1" a="1"/>
  <c r="X70" i="1" s="1"/>
  <c r="W70" i="1"/>
  <c r="X71" i="1" s="1" a="1"/>
  <c r="X71" i="1" s="1"/>
  <c r="W71" i="1"/>
  <c r="X72" i="1" s="1" a="1"/>
  <c r="X72" i="1" s="1"/>
  <c r="W72" i="1"/>
  <c r="X73" i="1" s="1" a="1"/>
  <c r="X73" i="1" s="1"/>
  <c r="W73" i="1"/>
  <c r="X3" i="25" s="1" a="1"/>
  <c r="X3" i="25" s="1"/>
  <c r="Y3" i="25" s="1"/>
  <c r="X74" i="1" a="1"/>
  <c r="X74" i="1" s="1"/>
  <c r="Y74" i="1" s="1"/>
  <c r="W74" i="1"/>
  <c r="X75" i="1" s="1" a="1"/>
  <c r="X75" i="1" s="1"/>
  <c r="Y75" i="1" s="1"/>
  <c r="W75" i="1"/>
  <c r="X76" i="1" s="1" a="1"/>
  <c r="X76" i="1" s="1"/>
  <c r="Y76" i="1" s="1"/>
  <c r="W76" i="1"/>
  <c r="X77" i="1" s="1" a="1"/>
  <c r="X77" i="1" s="1"/>
  <c r="Y77" i="1" s="1"/>
  <c r="W77" i="1"/>
  <c r="X78" i="1" s="1" a="1"/>
  <c r="X78" i="1" s="1"/>
  <c r="Y78" i="1" s="1"/>
  <c r="W78" i="1"/>
  <c r="X79" i="1" s="1" a="1"/>
  <c r="X79" i="1" s="1"/>
  <c r="Y79" i="1" s="1"/>
  <c r="W79" i="1"/>
  <c r="X80" i="1" s="1" a="1"/>
  <c r="X80" i="1" s="1"/>
  <c r="Y80" i="1" s="1"/>
  <c r="W80" i="1"/>
  <c r="X81" i="1" s="1" a="1"/>
  <c r="X81" i="1" s="1"/>
  <c r="Y81" i="1" s="1"/>
  <c r="W81" i="1"/>
  <c r="X82" i="1" s="1" a="1"/>
  <c r="X82" i="1" s="1"/>
  <c r="Y82" i="1" s="1"/>
  <c r="W82" i="1"/>
  <c r="X83" i="1" s="1" a="1"/>
  <c r="X83" i="1" s="1"/>
  <c r="Y83" i="1" s="1"/>
  <c r="W83" i="1"/>
  <c r="X84" i="1" s="1" a="1"/>
  <c r="X84" i="1" s="1"/>
  <c r="Y84" i="1" s="1"/>
  <c r="W84" i="1"/>
  <c r="X85" i="1" s="1" a="1"/>
  <c r="X85" i="1" s="1"/>
  <c r="Y85" i="1" s="1"/>
  <c r="W85" i="1"/>
  <c r="X86" i="1" s="1" a="1"/>
  <c r="X86" i="1" s="1"/>
  <c r="Y86" i="1" s="1"/>
  <c r="W86" i="1"/>
  <c r="X87" i="1" s="1" a="1"/>
  <c r="X87" i="1" s="1"/>
  <c r="Y87" i="1" s="1"/>
  <c r="W87" i="1"/>
  <c r="X88" i="1" s="1" a="1"/>
  <c r="X88" i="1" s="1"/>
  <c r="Y88" i="1" s="1"/>
  <c r="W88" i="1"/>
  <c r="X89" i="1" s="1" a="1"/>
  <c r="X89" i="1" s="1"/>
  <c r="Y89" i="1" s="1"/>
  <c r="W89" i="1"/>
  <c r="X90" i="1" s="1" a="1"/>
  <c r="X90" i="1" s="1"/>
  <c r="Y90" i="1" s="1"/>
  <c r="W90" i="1"/>
  <c r="X91" i="1" s="1" a="1"/>
  <c r="X91" i="1" s="1"/>
  <c r="Y91" i="1" s="1"/>
  <c r="W91" i="1"/>
  <c r="X92" i="1" s="1" a="1"/>
  <c r="X92" i="1" s="1"/>
  <c r="Y92" i="1" s="1"/>
  <c r="W92" i="1"/>
  <c r="X93" i="1" s="1" a="1"/>
  <c r="X93" i="1" s="1"/>
  <c r="Y93" i="1" s="1"/>
  <c r="W93" i="1"/>
  <c r="X94" i="1" s="1" a="1"/>
  <c r="X94" i="1" s="1"/>
  <c r="Y94" i="1" s="1"/>
  <c r="W94" i="1"/>
  <c r="X95" i="1" s="1" a="1"/>
  <c r="X95" i="1" s="1"/>
  <c r="Y95" i="1" s="1"/>
  <c r="W95" i="1"/>
  <c r="X96" i="1" s="1" a="1"/>
  <c r="X96" i="1" s="1"/>
  <c r="Y96" i="1" s="1"/>
  <c r="W96" i="1"/>
  <c r="X97" i="1" s="1" a="1"/>
  <c r="X97" i="1" s="1"/>
  <c r="Y97" i="1" s="1"/>
  <c r="W97" i="1"/>
  <c r="X98" i="1" s="1" a="1"/>
  <c r="X98" i="1" s="1"/>
  <c r="Y98" i="1" s="1"/>
  <c r="W98" i="1"/>
  <c r="X99" i="1" s="1" a="1"/>
  <c r="X99" i="1" s="1"/>
  <c r="Y99" i="1" s="1"/>
  <c r="W99" i="1"/>
  <c r="X100" i="1" s="1" a="1"/>
  <c r="X100" i="1" s="1"/>
  <c r="Y100" i="1" s="1"/>
  <c r="W100" i="1"/>
  <c r="X101" i="1" s="1" a="1"/>
  <c r="X101" i="1" s="1"/>
  <c r="Y101" i="1" s="1"/>
  <c r="W101" i="1"/>
  <c r="X102" i="1" s="1" a="1"/>
  <c r="X102" i="1" s="1"/>
  <c r="Y102" i="1" s="1"/>
  <c r="W102" i="1"/>
  <c r="X103" i="1" s="1" a="1"/>
  <c r="X103" i="1" s="1"/>
  <c r="Y103" i="1" s="1"/>
  <c r="W103" i="1"/>
  <c r="X104" i="1" s="1" a="1"/>
  <c r="X104" i="1" s="1"/>
  <c r="Y104" i="1" s="1"/>
  <c r="W104" i="1"/>
  <c r="X105" i="1" s="1" a="1"/>
  <c r="X105" i="1" s="1"/>
  <c r="Y105" i="1" s="1"/>
  <c r="W105" i="1"/>
  <c r="X106" i="1" s="1" a="1"/>
  <c r="X106" i="1" s="1"/>
  <c r="Y106" i="1" s="1"/>
  <c r="W106" i="1"/>
  <c r="X107" i="1" s="1" a="1"/>
  <c r="X107" i="1" s="1"/>
  <c r="Y107" i="1" s="1"/>
  <c r="W107" i="1"/>
  <c r="X108" i="1" s="1" a="1"/>
  <c r="X108" i="1" s="1"/>
  <c r="Y108" i="1" s="1"/>
  <c r="W108" i="1"/>
  <c r="X109" i="1" s="1" a="1"/>
  <c r="X109" i="1" s="1"/>
  <c r="Y109" i="1" s="1"/>
  <c r="W109" i="1"/>
  <c r="X110" i="1" s="1" a="1"/>
  <c r="X110" i="1" s="1"/>
  <c r="Y110" i="1" s="1"/>
  <c r="W110" i="1"/>
  <c r="X111" i="1" s="1" a="1"/>
  <c r="X111" i="1" s="1"/>
  <c r="Y111" i="1" s="1"/>
  <c r="W111" i="1"/>
  <c r="X112" i="1" s="1" a="1"/>
  <c r="X112" i="1" s="1"/>
  <c r="Y112" i="1" s="1"/>
  <c r="W112" i="1"/>
  <c r="X113" i="1" s="1" a="1"/>
  <c r="X113" i="1" s="1"/>
  <c r="Y113" i="1" s="1"/>
  <c r="W113" i="1"/>
  <c r="X114" i="1" s="1" a="1"/>
  <c r="X114" i="1" s="1"/>
  <c r="Y114" i="1" s="1"/>
  <c r="W114" i="1"/>
  <c r="X115" i="1" s="1" a="1"/>
  <c r="X115" i="1" s="1"/>
  <c r="Y115" i="1" s="1"/>
  <c r="W115" i="1"/>
  <c r="X116" i="1" s="1" a="1"/>
  <c r="X116" i="1" s="1"/>
  <c r="Y116" i="1" s="1"/>
  <c r="W116" i="1"/>
  <c r="X117" i="1" s="1" a="1"/>
  <c r="X117" i="1" s="1"/>
  <c r="Y117" i="1" s="1"/>
  <c r="W117" i="1"/>
  <c r="X118" i="1" s="1" a="1"/>
  <c r="X118" i="1" s="1"/>
  <c r="Y118" i="1" s="1"/>
  <c r="W118" i="1"/>
  <c r="X119" i="1" s="1" a="1"/>
  <c r="X119" i="1" s="1"/>
  <c r="Y119" i="1" s="1"/>
  <c r="W119" i="1"/>
  <c r="X120" i="1" s="1" a="1"/>
  <c r="X120" i="1" s="1"/>
  <c r="Y120" i="1" s="1"/>
  <c r="W120" i="1"/>
  <c r="X121" i="1" s="1" a="1"/>
  <c r="X121" i="1" s="1"/>
  <c r="Y121" i="1" s="1"/>
  <c r="W121" i="1"/>
  <c r="X122" i="1" s="1" a="1"/>
  <c r="X122" i="1" s="1"/>
  <c r="Y122" i="1" s="1"/>
  <c r="W122" i="1"/>
  <c r="X123" i="1" s="1" a="1"/>
  <c r="X123" i="1" s="1"/>
  <c r="Y123" i="1" s="1"/>
  <c r="W123" i="1"/>
  <c r="X124" i="1" s="1" a="1"/>
  <c r="X124" i="1" s="1"/>
  <c r="Y124" i="1" s="1"/>
  <c r="W124" i="1"/>
  <c r="X125" i="1" s="1" a="1"/>
  <c r="X125" i="1" s="1"/>
  <c r="Y125" i="1" s="1"/>
  <c r="W125" i="1"/>
  <c r="X126" i="1" s="1" a="1"/>
  <c r="X126" i="1" s="1"/>
  <c r="Y126" i="1" s="1"/>
  <c r="W126" i="1"/>
  <c r="X127" i="1" s="1" a="1"/>
  <c r="X127" i="1" s="1"/>
  <c r="Y127" i="1" s="1"/>
  <c r="W127" i="1"/>
  <c r="X128" i="1" s="1" a="1"/>
  <c r="X128" i="1" s="1"/>
  <c r="Y128" i="1" s="1"/>
  <c r="W128" i="1"/>
  <c r="X129" i="1" s="1" a="1"/>
  <c r="X129" i="1" s="1"/>
  <c r="Y129" i="1" s="1"/>
  <c r="W129" i="1"/>
  <c r="X130" i="1" s="1" a="1"/>
  <c r="X130" i="1" s="1"/>
  <c r="Y130" i="1" s="1"/>
  <c r="W130" i="1"/>
  <c r="X131" i="1" s="1" a="1"/>
  <c r="X131" i="1" s="1"/>
  <c r="Y131" i="1" s="1"/>
  <c r="W131" i="1"/>
  <c r="X132" i="1" s="1" a="1"/>
  <c r="X132" i="1" s="1"/>
  <c r="Y132" i="1" s="1"/>
  <c r="W132" i="1"/>
  <c r="X133" i="1" s="1" a="1"/>
  <c r="X133" i="1" s="1"/>
  <c r="Y133" i="1" s="1"/>
  <c r="W133" i="1"/>
  <c r="X134" i="1" s="1" a="1"/>
  <c r="X134" i="1" s="1"/>
  <c r="Y134" i="1" s="1"/>
  <c r="W134" i="1"/>
  <c r="X135" i="1" s="1" a="1"/>
  <c r="X135" i="1" s="1"/>
  <c r="Y135" i="1" s="1"/>
  <c r="W135" i="1"/>
  <c r="X136" i="1" s="1" a="1"/>
  <c r="X136" i="1" s="1"/>
  <c r="Y136" i="1" s="1"/>
  <c r="W136" i="1"/>
  <c r="X137" i="1" s="1" a="1"/>
  <c r="X137" i="1" s="1"/>
  <c r="Y137" i="1" s="1"/>
  <c r="W137" i="1"/>
  <c r="X138" i="1" s="1" a="1"/>
  <c r="X138" i="1" s="1"/>
  <c r="Y138" i="1" s="1"/>
  <c r="W138" i="1"/>
  <c r="X139" i="1" s="1" a="1"/>
  <c r="X139" i="1" s="1"/>
  <c r="Y139" i="1" s="1"/>
  <c r="W139" i="1"/>
  <c r="X140" i="1" s="1" a="1"/>
  <c r="X140" i="1" s="1"/>
  <c r="Y140" i="1" s="1"/>
  <c r="W140" i="1"/>
  <c r="X141" i="1" s="1" a="1"/>
  <c r="X141" i="1" s="1"/>
  <c r="W141" i="1"/>
  <c r="X142" i="1" s="1" a="1"/>
  <c r="X142" i="1" s="1"/>
  <c r="W142" i="1"/>
  <c r="X143" i="1" s="1" a="1"/>
  <c r="X143" i="1" s="1"/>
  <c r="Y143" i="1" s="1"/>
  <c r="W143" i="1"/>
  <c r="X144" i="1" s="1" a="1"/>
  <c r="X144" i="1" s="1"/>
  <c r="Y144" i="1" s="1"/>
  <c r="W144" i="1"/>
  <c r="X145" i="1" s="1" a="1"/>
  <c r="X145" i="1" s="1"/>
  <c r="Y145" i="1" s="1"/>
  <c r="W145" i="1"/>
  <c r="X146" i="1" s="1" a="1"/>
  <c r="X146" i="1" s="1"/>
  <c r="Y146" i="1" s="1"/>
  <c r="W146" i="1"/>
  <c r="X147" i="1" s="1" a="1"/>
  <c r="X147" i="1" s="1"/>
  <c r="Y147" i="1" s="1"/>
  <c r="W147" i="1"/>
  <c r="X148" i="1" s="1" a="1"/>
  <c r="X148" i="1" s="1"/>
  <c r="Y148" i="1" s="1"/>
  <c r="W148" i="1"/>
  <c r="X149" i="1" s="1" a="1"/>
  <c r="X149" i="1" s="1"/>
  <c r="Y149" i="1" s="1"/>
  <c r="W149" i="1"/>
  <c r="X150" i="1" s="1" a="1"/>
  <c r="X150" i="1" s="1"/>
  <c r="Y150" i="1" s="1"/>
  <c r="W150" i="1"/>
  <c r="X151" i="1" s="1" a="1"/>
  <c r="X151" i="1" s="1"/>
  <c r="Y151" i="1" s="1"/>
  <c r="W151" i="1"/>
  <c r="X152" i="1" s="1" a="1"/>
  <c r="X152" i="1" s="1"/>
  <c r="Y152" i="1" s="1"/>
  <c r="W152" i="1"/>
  <c r="X153" i="1" s="1" a="1"/>
  <c r="X153" i="1" s="1"/>
  <c r="W153" i="1"/>
  <c r="X154" i="1" s="1" a="1"/>
  <c r="X154" i="1" s="1"/>
  <c r="Y154" i="1" s="1"/>
  <c r="W154" i="1"/>
  <c r="X155" i="1" s="1" a="1"/>
  <c r="X155" i="1" s="1"/>
  <c r="W155" i="1"/>
  <c r="X156" i="1" s="1" a="1"/>
  <c r="X156" i="1" s="1"/>
  <c r="W156" i="1"/>
  <c r="X157" i="1" s="1" a="1"/>
  <c r="X157" i="1" s="1"/>
  <c r="W157" i="1"/>
  <c r="X158" i="1" s="1" a="1"/>
  <c r="X158" i="1" s="1"/>
  <c r="W158" i="1"/>
  <c r="X159" i="1" s="1" a="1"/>
  <c r="X159" i="1" s="1"/>
  <c r="W159" i="1"/>
  <c r="X160" i="1" s="1" a="1"/>
  <c r="X160" i="1" s="1"/>
  <c r="W160" i="1"/>
  <c r="X161" i="1" s="1" a="1"/>
  <c r="X161" i="1" s="1"/>
  <c r="W161" i="1"/>
  <c r="X162" i="1" s="1" a="1"/>
  <c r="X162" i="1" s="1"/>
  <c r="W162" i="1"/>
  <c r="X163" i="1" s="1" a="1"/>
  <c r="X163" i="1" s="1"/>
  <c r="W163" i="1"/>
  <c r="X164" i="1" s="1" a="1"/>
  <c r="X164" i="1" s="1"/>
  <c r="Y164" i="1" s="1"/>
  <c r="W164" i="1"/>
  <c r="X165" i="1" s="1" a="1"/>
  <c r="X165" i="1" s="1"/>
  <c r="W165" i="1"/>
  <c r="X166" i="1" s="1" a="1"/>
  <c r="X166" i="1" s="1"/>
  <c r="W166" i="1"/>
  <c r="X167" i="1" s="1" a="1"/>
  <c r="X167" i="1" s="1"/>
  <c r="W167" i="1"/>
  <c r="X168" i="1" s="1" a="1"/>
  <c r="X168" i="1" s="1"/>
  <c r="W168" i="1"/>
  <c r="X169" i="1" s="1" a="1"/>
  <c r="X169" i="1" s="1"/>
  <c r="W169" i="1"/>
  <c r="X170" i="1" s="1" a="1"/>
  <c r="X170" i="1" s="1"/>
  <c r="W170" i="1"/>
  <c r="X171" i="1" s="1" a="1"/>
  <c r="X171" i="1" s="1"/>
  <c r="W171" i="1"/>
  <c r="X172" i="1" s="1" a="1"/>
  <c r="X172" i="1" s="1"/>
  <c r="W172" i="1"/>
  <c r="X173" i="1" s="1" a="1"/>
  <c r="X173" i="1" s="1"/>
  <c r="W173" i="1"/>
  <c r="X174" i="1" s="1" a="1"/>
  <c r="X174" i="1" s="1"/>
  <c r="W174" i="1"/>
  <c r="X175" i="1" s="1" a="1"/>
  <c r="X175" i="1" s="1"/>
  <c r="W175" i="1"/>
  <c r="X176" i="1" s="1" a="1"/>
  <c r="X176" i="1" s="1"/>
  <c r="W176" i="1"/>
  <c r="X177" i="1" s="1" a="1"/>
  <c r="X177" i="1" s="1"/>
  <c r="W177" i="1"/>
  <c r="X178" i="1" s="1" a="1"/>
  <c r="X178" i="1" s="1"/>
  <c r="W178" i="1"/>
  <c r="X179" i="1" s="1" a="1"/>
  <c r="X179" i="1" s="1"/>
  <c r="W179" i="1"/>
  <c r="X180" i="1" s="1" a="1"/>
  <c r="X180" i="1" s="1"/>
  <c r="W180" i="1"/>
  <c r="X181" i="1" s="1" a="1"/>
  <c r="X181" i="1" s="1"/>
  <c r="W181" i="1"/>
  <c r="X182" i="1" s="1" a="1"/>
  <c r="X182" i="1" s="1"/>
  <c r="W182" i="1"/>
  <c r="X183" i="1" s="1" a="1"/>
  <c r="X183" i="1" s="1"/>
  <c r="W183" i="1"/>
  <c r="X184" i="1" s="1" a="1"/>
  <c r="X184" i="1" s="1"/>
  <c r="W184" i="1"/>
  <c r="X185" i="1" s="1" a="1"/>
  <c r="X185" i="1" s="1"/>
  <c r="W185" i="1"/>
  <c r="X186" i="1" s="1" a="1"/>
  <c r="X186" i="1" s="1"/>
  <c r="W186" i="1"/>
  <c r="X187" i="1" s="1" a="1"/>
  <c r="X187" i="1" s="1"/>
  <c r="W187" i="1"/>
  <c r="X188" i="1" s="1" a="1"/>
  <c r="X188" i="1" s="1"/>
  <c r="W188" i="1"/>
  <c r="X189" i="1" s="1" a="1"/>
  <c r="X189" i="1" s="1"/>
  <c r="W189" i="1"/>
  <c r="X190" i="1" s="1" a="1"/>
  <c r="X190" i="1" s="1"/>
  <c r="W190" i="1"/>
  <c r="X191" i="1" s="1" a="1"/>
  <c r="X191" i="1" s="1"/>
  <c r="W191" i="1"/>
  <c r="X192" i="1" s="1" a="1"/>
  <c r="X192" i="1" s="1"/>
  <c r="Y192" i="1" s="1"/>
  <c r="W192" i="1"/>
  <c r="X193" i="1" s="1" a="1"/>
  <c r="X193" i="1" s="1"/>
  <c r="W193" i="1"/>
  <c r="X194" i="1" s="1" a="1"/>
  <c r="X194" i="1" s="1"/>
  <c r="W194" i="1"/>
  <c r="X195" i="1" s="1" a="1"/>
  <c r="X195" i="1" s="1"/>
  <c r="W195" i="1"/>
  <c r="X196" i="1" s="1" a="1"/>
  <c r="X196" i="1" s="1"/>
  <c r="W196" i="1"/>
  <c r="X197" i="1" s="1" a="1"/>
  <c r="X197" i="1" s="1"/>
  <c r="W197" i="1"/>
  <c r="X198" i="1" s="1" a="1"/>
  <c r="X198" i="1" s="1"/>
  <c r="W198" i="1"/>
  <c r="X199" i="1" s="1" a="1"/>
  <c r="X199" i="1" s="1"/>
  <c r="W199" i="1"/>
  <c r="X200" i="1" s="1" a="1"/>
  <c r="X200" i="1" s="1"/>
  <c r="W200" i="1"/>
  <c r="X201" i="1" s="1" a="1"/>
  <c r="X201" i="1" s="1"/>
  <c r="W201" i="1"/>
  <c r="X202" i="1" s="1" a="1"/>
  <c r="X202" i="1" s="1"/>
  <c r="W202" i="1"/>
  <c r="X203" i="1" s="1" a="1"/>
  <c r="X203" i="1" s="1"/>
  <c r="W203" i="1"/>
  <c r="X204" i="1" s="1" a="1"/>
  <c r="X204" i="1" s="1"/>
  <c r="W204" i="1"/>
  <c r="X205" i="1" s="1" a="1"/>
  <c r="X205" i="1" s="1"/>
  <c r="W205" i="1"/>
  <c r="X206" i="1" s="1" a="1"/>
  <c r="X206" i="1" s="1"/>
  <c r="W217" i="1"/>
  <c r="X218" i="1" s="1" a="1"/>
  <c r="X218" i="1" s="1"/>
  <c r="W206" i="1"/>
  <c r="X207" i="1" s="1" a="1"/>
  <c r="X207" i="1" s="1"/>
  <c r="W218" i="1"/>
  <c r="X219" i="1" s="1" a="1"/>
  <c r="X219" i="1" s="1"/>
  <c r="Y219" i="1" s="1"/>
  <c r="W207" i="1"/>
  <c r="X208" i="1" s="1" a="1"/>
  <c r="X208" i="1" s="1"/>
  <c r="W208" i="1"/>
  <c r="X209" i="1" s="1" a="1"/>
  <c r="X209" i="1" s="1"/>
  <c r="W209" i="1"/>
  <c r="X210" i="1" s="1" a="1"/>
  <c r="X210" i="1" s="1"/>
  <c r="W210" i="1"/>
  <c r="X211" i="1" s="1" a="1"/>
  <c r="X211" i="1" s="1"/>
  <c r="W211" i="1"/>
  <c r="X212" i="1" s="1" a="1"/>
  <c r="X212" i="1" s="1"/>
  <c r="W212" i="1"/>
  <c r="X213" i="1" s="1" a="1"/>
  <c r="X213" i="1" s="1"/>
  <c r="W213" i="1"/>
  <c r="X214" i="1" s="1" a="1"/>
  <c r="X214" i="1" s="1"/>
  <c r="W214" i="1"/>
  <c r="X215" i="1" s="1" a="1"/>
  <c r="X215" i="1" s="1"/>
  <c r="W215" i="1"/>
  <c r="X216" i="1" s="1" a="1"/>
  <c r="X216" i="1" s="1"/>
  <c r="W216" i="1"/>
  <c r="X217" i="1" s="1" a="1"/>
  <c r="X217" i="1" s="1"/>
  <c r="W219" i="1"/>
  <c r="X220" i="1" s="1" a="1"/>
  <c r="X220" i="1" s="1"/>
  <c r="Y220" i="1" s="1"/>
  <c r="W220" i="1"/>
  <c r="X221" i="1" s="1" a="1"/>
  <c r="X221" i="1" s="1"/>
  <c r="Y221" i="1" s="1"/>
  <c r="W221" i="1"/>
  <c r="X222" i="1" s="1" a="1"/>
  <c r="X222" i="1" s="1"/>
  <c r="Y222" i="1" s="1"/>
  <c r="W222" i="1"/>
  <c r="X223" i="1" s="1" a="1"/>
  <c r="X223" i="1" s="1"/>
  <c r="Y223" i="1" s="1"/>
  <c r="W223" i="1"/>
  <c r="X224" i="1" s="1" a="1"/>
  <c r="X224" i="1" s="1"/>
  <c r="Y224" i="1" s="1"/>
  <c r="W224" i="1"/>
  <c r="X225" i="1" s="1" a="1"/>
  <c r="X225" i="1" s="1"/>
  <c r="Y225" i="1" s="1"/>
  <c r="W225" i="1"/>
  <c r="X226" i="1" s="1" a="1"/>
  <c r="X226" i="1" s="1"/>
  <c r="Y226" i="1" s="1"/>
  <c r="W226" i="1"/>
  <c r="X227" i="1" s="1" a="1"/>
  <c r="X227" i="1" s="1"/>
  <c r="Y227" i="1" s="1"/>
  <c r="W227" i="1"/>
  <c r="X228" i="1" s="1" a="1"/>
  <c r="X228" i="1" s="1"/>
  <c r="Y228" i="1" s="1"/>
  <c r="W228" i="1"/>
  <c r="X229" i="1" s="1" a="1"/>
  <c r="X229" i="1" s="1"/>
  <c r="Y229" i="1" s="1"/>
  <c r="W229" i="1"/>
  <c r="X230" i="1" s="1" a="1"/>
  <c r="X230" i="1" s="1"/>
  <c r="Y230" i="1" s="1"/>
  <c r="W230" i="1"/>
  <c r="X231" i="1" s="1" a="1"/>
  <c r="X231" i="1" s="1"/>
  <c r="Y231" i="1" s="1"/>
  <c r="W231" i="1"/>
  <c r="X232" i="1" s="1" a="1"/>
  <c r="X232" i="1" s="1"/>
  <c r="Y232" i="1" s="1"/>
  <c r="W232" i="1"/>
  <c r="X233" i="1" s="1" a="1"/>
  <c r="X233" i="1" s="1"/>
  <c r="Y233" i="1" s="1"/>
  <c r="W233" i="1"/>
  <c r="X234" i="1" s="1" a="1"/>
  <c r="X234" i="1" s="1"/>
  <c r="Y234" i="1" s="1"/>
  <c r="W234" i="1"/>
  <c r="X235" i="1" s="1" a="1"/>
  <c r="X235" i="1" s="1"/>
  <c r="Y235" i="1" s="1"/>
  <c r="W235" i="1"/>
  <c r="X236" i="1" s="1" a="1"/>
  <c r="X236" i="1" s="1"/>
  <c r="Y236" i="1" s="1"/>
  <c r="W236" i="1"/>
  <c r="X237" i="1" s="1" a="1"/>
  <c r="X237" i="1" s="1"/>
  <c r="Y237" i="1" s="1"/>
  <c r="W237" i="1"/>
  <c r="X238" i="1" s="1" a="1"/>
  <c r="X238" i="1" s="1"/>
  <c r="Y238" i="1" s="1"/>
  <c r="W238" i="1"/>
  <c r="X239" i="1" s="1" a="1"/>
  <c r="X239" i="1" s="1"/>
  <c r="Y239" i="1" s="1"/>
  <c r="W239" i="1"/>
  <c r="X240" i="1" s="1" a="1"/>
  <c r="X240" i="1" s="1"/>
  <c r="Y240" i="1" s="1"/>
  <c r="W240" i="1"/>
  <c r="X241" i="1" s="1" a="1"/>
  <c r="X241" i="1" s="1"/>
  <c r="Y241" i="1" s="1"/>
  <c r="W241" i="1"/>
  <c r="X242" i="1" s="1" a="1"/>
  <c r="X242" i="1" s="1"/>
  <c r="Y242" i="1" s="1"/>
  <c r="W242" i="1"/>
  <c r="X243" i="1" s="1" a="1"/>
  <c r="X243" i="1" s="1"/>
  <c r="Y243" i="1" s="1"/>
  <c r="W243" i="1"/>
  <c r="X244" i="1" s="1" a="1"/>
  <c r="X244" i="1" s="1"/>
  <c r="Y244" i="1" s="1"/>
  <c r="W244" i="1"/>
  <c r="X245" i="1" s="1" a="1"/>
  <c r="X245" i="1" s="1"/>
  <c r="W245" i="1"/>
  <c r="X246" i="1" s="1" a="1"/>
  <c r="X246" i="1" s="1"/>
  <c r="Y246" i="1" s="1"/>
  <c r="W246" i="1"/>
  <c r="X247" i="1" s="1" a="1"/>
  <c r="X247" i="1" s="1"/>
  <c r="Y247" i="1" s="1"/>
  <c r="W247" i="1"/>
  <c r="X248" i="1" s="1" a="1"/>
  <c r="X248" i="1" s="1"/>
  <c r="Y248" i="1" s="1"/>
  <c r="W248" i="1"/>
  <c r="X249" i="1" s="1" a="1"/>
  <c r="X249" i="1" s="1"/>
  <c r="Y249" i="1" s="1"/>
  <c r="W249" i="1"/>
  <c r="X250" i="1" s="1" a="1"/>
  <c r="X250" i="1" s="1"/>
  <c r="Y250" i="1" s="1"/>
  <c r="W250" i="1"/>
  <c r="X251" i="1" s="1" a="1"/>
  <c r="X251" i="1" s="1"/>
  <c r="Y251" i="1" s="1"/>
  <c r="W251" i="1"/>
  <c r="X252" i="1" s="1" a="1"/>
  <c r="X252" i="1" s="1"/>
  <c r="Y252" i="1" s="1"/>
  <c r="W252" i="1"/>
  <c r="X253" i="1" s="1" a="1"/>
  <c r="X253" i="1" s="1"/>
  <c r="Y253" i="1" s="1"/>
  <c r="W253" i="1"/>
  <c r="X254" i="1" s="1" a="1"/>
  <c r="X254" i="1" s="1"/>
  <c r="Y254" i="1" s="1"/>
  <c r="W254" i="1"/>
  <c r="X255" i="1" s="1" a="1"/>
  <c r="X255" i="1" s="1"/>
  <c r="Y255" i="1" s="1"/>
  <c r="W255" i="1"/>
  <c r="X256" i="1" s="1" a="1"/>
  <c r="X256" i="1" s="1"/>
  <c r="Y256" i="1" s="1"/>
  <c r="W256" i="1"/>
  <c r="X257" i="1" s="1" a="1"/>
  <c r="X257" i="1" s="1"/>
  <c r="Y257" i="1" s="1"/>
  <c r="W257" i="1"/>
  <c r="X258" i="1" s="1" a="1"/>
  <c r="X258" i="1" s="1"/>
  <c r="W277" i="1"/>
  <c r="X278" i="1" s="1" a="1"/>
  <c r="X278" i="1" s="1"/>
  <c r="Y278" i="1" s="1"/>
  <c r="W259" i="1"/>
  <c r="X260" i="1" s="1" a="1"/>
  <c r="X260" i="1" s="1"/>
  <c r="Y260" i="1" s="1"/>
  <c r="W260" i="1"/>
  <c r="X261" i="1" s="1" a="1"/>
  <c r="X261" i="1" s="1"/>
  <c r="Y261" i="1" s="1"/>
  <c r="W261" i="1"/>
  <c r="X262" i="1" s="1" a="1"/>
  <c r="X262" i="1" s="1"/>
  <c r="W279" i="1"/>
  <c r="X280" i="1" s="1" a="1"/>
  <c r="X280" i="1" s="1"/>
  <c r="W280" i="1"/>
  <c r="X281" i="1" s="1" a="1"/>
  <c r="X281" i="1" s="1"/>
  <c r="Y281" i="1" s="1"/>
  <c r="W282" i="1"/>
  <c r="X283" i="1" s="1" a="1"/>
  <c r="X283" i="1" s="1"/>
  <c r="W265" i="1"/>
  <c r="X266" i="1" s="1" a="1"/>
  <c r="X266" i="1" s="1"/>
  <c r="W283" i="1"/>
  <c r="X284" i="1" s="1" a="1"/>
  <c r="X284" i="1" s="1"/>
  <c r="W284" i="1"/>
  <c r="X285" i="1" s="1" a="1"/>
  <c r="X285" i="1" s="1"/>
  <c r="Y285" i="1" s="1"/>
  <c r="W270" i="1"/>
  <c r="X271" i="1" s="1" a="1"/>
  <c r="X271" i="1" s="1"/>
  <c r="W269" i="1"/>
  <c r="X270" i="1" s="1" a="1"/>
  <c r="X270" i="1" s="1"/>
  <c r="W271" i="1"/>
  <c r="X272" i="1" s="1" a="1"/>
  <c r="X272" i="1" s="1"/>
  <c r="Y272" i="1" s="1"/>
  <c r="W273" i="1"/>
  <c r="X274" i="1" s="1" a="1"/>
  <c r="X274" i="1" s="1"/>
  <c r="Y274" i="1" s="1"/>
  <c r="W272" i="1"/>
  <c r="X273" i="1" s="1" a="1"/>
  <c r="X273" i="1" s="1"/>
  <c r="W275" i="1"/>
  <c r="X276" i="1" s="1" a="1"/>
  <c r="X276" i="1" s="1"/>
  <c r="W274" i="1"/>
  <c r="X275" i="1" s="1" a="1"/>
  <c r="X275" i="1" s="1"/>
  <c r="W287" i="1"/>
  <c r="X288" i="1" s="1" a="1"/>
  <c r="X288" i="1" s="1"/>
  <c r="W276" i="1"/>
  <c r="X277" i="1" s="1" a="1"/>
  <c r="X277" i="1" s="1"/>
  <c r="W322" i="1"/>
  <c r="X323" i="1" s="1" a="1"/>
  <c r="X323" i="1" s="1"/>
  <c r="Y323" i="1" s="1"/>
  <c r="W278" i="1"/>
  <c r="X279" i="1" s="1" a="1"/>
  <c r="X279" i="1" s="1"/>
  <c r="W258" i="1"/>
  <c r="X259" i="1" s="1" a="1"/>
  <c r="X259" i="1" s="1"/>
  <c r="Y259" i="1" s="1"/>
  <c r="W262" i="1"/>
  <c r="X263" i="1" s="1" a="1"/>
  <c r="X263" i="1" s="1"/>
  <c r="W281" i="1"/>
  <c r="X282" i="1" s="1" a="1"/>
  <c r="X282" i="1" s="1"/>
  <c r="W263" i="1"/>
  <c r="X264" i="1" s="1" a="1"/>
  <c r="X264" i="1" s="1"/>
  <c r="W264" i="1"/>
  <c r="X265" i="1" s="1" a="1"/>
  <c r="X265" i="1" s="1"/>
  <c r="Y265" i="1" s="1"/>
  <c r="W266" i="1"/>
  <c r="X267" i="1" s="1" a="1"/>
  <c r="X267" i="1" s="1"/>
  <c r="W285" i="1"/>
  <c r="X286" i="1" s="1" a="1"/>
  <c r="X286" i="1" s="1"/>
  <c r="Y286" i="1" s="1"/>
  <c r="W286" i="1"/>
  <c r="X287" i="1" s="1" a="1"/>
  <c r="X287" i="1" s="1"/>
  <c r="W288" i="1"/>
  <c r="X289" i="1" s="1" a="1"/>
  <c r="X289" i="1" s="1"/>
  <c r="W267" i="1"/>
  <c r="X268" i="1" s="1" a="1"/>
  <c r="X268" i="1" s="1"/>
  <c r="W268" i="1"/>
  <c r="X269" i="1" s="1" a="1"/>
  <c r="X269" i="1" s="1"/>
  <c r="Y269" i="1" s="1"/>
  <c r="W289" i="1"/>
  <c r="X290" i="1" s="1" a="1"/>
  <c r="X290" i="1" s="1"/>
  <c r="W291" i="1"/>
  <c r="X292" i="1" s="1" a="1"/>
  <c r="X292" i="1" s="1"/>
  <c r="Y292" i="1" s="1"/>
  <c r="W292" i="1"/>
  <c r="X293" i="1" s="1" a="1"/>
  <c r="X293" i="1" s="1"/>
  <c r="Y293" i="1" s="1"/>
  <c r="W293" i="1"/>
  <c r="X294" i="1" s="1" a="1"/>
  <c r="X294" i="1" s="1"/>
  <c r="Y294" i="1" s="1"/>
  <c r="W294" i="1"/>
  <c r="X295" i="1" s="1" a="1"/>
  <c r="X295" i="1" s="1"/>
  <c r="Y295" i="1" s="1"/>
  <c r="W295" i="1"/>
  <c r="X296" i="1" s="1" a="1"/>
  <c r="X296" i="1" s="1"/>
  <c r="Y296" i="1" s="1"/>
  <c r="W296" i="1"/>
  <c r="X297" i="1" s="1" a="1"/>
  <c r="X297" i="1" s="1"/>
  <c r="Y297" i="1" s="1"/>
  <c r="W297" i="1"/>
  <c r="X298" i="1" s="1" a="1"/>
  <c r="X298" i="1" s="1"/>
  <c r="Y298" i="1" s="1"/>
  <c r="W298" i="1"/>
  <c r="X299" i="1" s="1" a="1"/>
  <c r="X299" i="1" s="1"/>
  <c r="Y299" i="1" s="1"/>
  <c r="W299" i="1"/>
  <c r="X300" i="1" s="1" a="1"/>
  <c r="X300" i="1" s="1"/>
  <c r="Y300" i="1" s="1"/>
  <c r="W300" i="1"/>
  <c r="X301" i="1" s="1" a="1"/>
  <c r="X301" i="1" s="1"/>
  <c r="Y301" i="1" s="1"/>
  <c r="W301" i="1"/>
  <c r="X302" i="1" s="1" a="1"/>
  <c r="X302" i="1" s="1"/>
  <c r="Y302" i="1" s="1"/>
  <c r="W302" i="1"/>
  <c r="X303" i="1" s="1" a="1"/>
  <c r="X303" i="1" s="1"/>
  <c r="W290" i="1"/>
  <c r="X291" i="1" s="1" a="1"/>
  <c r="X291" i="1" s="1"/>
  <c r="Y291" i="1" s="1"/>
  <c r="W303" i="1"/>
  <c r="X304" i="1" s="1" a="1"/>
  <c r="X304" i="1" s="1"/>
  <c r="W305" i="1"/>
  <c r="X306" i="1" s="1" a="1"/>
  <c r="X306" i="1" s="1"/>
  <c r="Y306" i="1" s="1"/>
  <c r="W306" i="1"/>
  <c r="X307" i="1" s="1" a="1"/>
  <c r="X307" i="1" s="1"/>
  <c r="Y307" i="1" s="1"/>
  <c r="W307" i="1"/>
  <c r="X308" i="1" s="1" a="1"/>
  <c r="X308" i="1" s="1"/>
  <c r="Y308" i="1" s="1"/>
  <c r="W308" i="1"/>
  <c r="X309" i="1" s="1" a="1"/>
  <c r="X309" i="1" s="1"/>
  <c r="Y309" i="1" s="1"/>
  <c r="W309" i="1"/>
  <c r="X310" i="1" s="1" a="1"/>
  <c r="X310" i="1" s="1"/>
  <c r="Y310" i="1" s="1"/>
  <c r="W310" i="1"/>
  <c r="X311" i="1" s="1" a="1"/>
  <c r="X311" i="1" s="1"/>
  <c r="Y311" i="1" s="1"/>
  <c r="W311" i="1"/>
  <c r="X312" i="1" s="1" a="1"/>
  <c r="X312" i="1" s="1"/>
  <c r="Y312" i="1" s="1"/>
  <c r="W312" i="1"/>
  <c r="X313" i="1" s="1" a="1"/>
  <c r="X313" i="1" s="1"/>
  <c r="Y313" i="1" s="1"/>
  <c r="W313" i="1"/>
  <c r="X314" i="1" s="1" a="1"/>
  <c r="X314" i="1" s="1"/>
  <c r="Y314" i="1" s="1"/>
  <c r="W314" i="1"/>
  <c r="X315" i="1" s="1" a="1"/>
  <c r="X315" i="1" s="1"/>
  <c r="W304" i="1"/>
  <c r="X305" i="1" s="1" a="1"/>
  <c r="X305" i="1" s="1"/>
  <c r="Y305" i="1" s="1"/>
  <c r="W316" i="1"/>
  <c r="X317" i="1" s="1" a="1"/>
  <c r="X317" i="1" s="1"/>
  <c r="Y317" i="1" s="1"/>
  <c r="W317" i="1"/>
  <c r="X318" i="1" s="1" a="1"/>
  <c r="X318" i="1" s="1"/>
  <c r="Y318" i="1" s="1"/>
  <c r="W318" i="1"/>
  <c r="X319" i="1" s="1" a="1"/>
  <c r="X319" i="1" s="1"/>
  <c r="Y319" i="1" s="1"/>
  <c r="W319" i="1"/>
  <c r="X320" i="1" s="1" a="1"/>
  <c r="X320" i="1" s="1"/>
  <c r="W315" i="1"/>
  <c r="X316" i="1" s="1" a="1"/>
  <c r="X316" i="1" s="1"/>
  <c r="Y316" i="1" s="1"/>
  <c r="W321" i="1"/>
  <c r="X322" i="1" s="1" a="1"/>
  <c r="X322" i="1" s="1"/>
  <c r="W320" i="1"/>
  <c r="X321" i="1" s="1" a="1"/>
  <c r="X321" i="1" s="1"/>
  <c r="Y321" i="1" s="1"/>
  <c r="W323" i="1"/>
  <c r="X324" i="1" s="1" a="1"/>
  <c r="X324" i="1" s="1"/>
  <c r="W324" i="1"/>
  <c r="X325" i="1" s="1" a="1"/>
  <c r="X325" i="1" s="1"/>
  <c r="Y325" i="1" s="1"/>
  <c r="W325" i="1"/>
  <c r="X326" i="1" s="1" a="1"/>
  <c r="X326" i="1" s="1"/>
  <c r="Y326" i="1" s="1"/>
  <c r="W326" i="1"/>
  <c r="X327" i="1" s="1" a="1"/>
  <c r="X327" i="1" s="1"/>
  <c r="W327" i="1"/>
  <c r="X328" i="1" s="1" a="1"/>
  <c r="X328" i="1" s="1"/>
  <c r="Y328" i="1" s="1"/>
  <c r="W328" i="1"/>
  <c r="X329" i="1" s="1" a="1"/>
  <c r="X329" i="1" s="1"/>
  <c r="Y329" i="1" s="1"/>
  <c r="W329" i="1"/>
  <c r="X330" i="1" s="1" a="1"/>
  <c r="X330" i="1" s="1"/>
  <c r="W330" i="1"/>
  <c r="X331" i="1" s="1" a="1"/>
  <c r="X331" i="1" s="1"/>
  <c r="W331" i="1"/>
  <c r="X332" i="1" s="1" a="1"/>
  <c r="X332" i="1" s="1"/>
  <c r="W332" i="1"/>
  <c r="W341" i="1"/>
  <c r="X342" i="1" s="1" a="1"/>
  <c r="X342" i="1" s="1"/>
  <c r="Y342" i="1" s="1"/>
  <c r="W342" i="1"/>
  <c r="W343" i="1"/>
  <c r="X344" i="1" s="1" a="1"/>
  <c r="X344" i="1" s="1"/>
  <c r="Y344" i="1" s="1"/>
  <c r="W344" i="1"/>
  <c r="X345" i="1" s="1" a="1"/>
  <c r="X345" i="1" s="1"/>
  <c r="Y345" i="1" s="1"/>
  <c r="W345" i="1"/>
  <c r="W346" i="1"/>
  <c r="W347" i="1"/>
  <c r="X348" i="1" s="1" a="1"/>
  <c r="X348" i="1" s="1"/>
  <c r="Y348" i="1" s="1"/>
  <c r="W348" i="1"/>
  <c r="X349" i="1" s="1" a="1"/>
  <c r="X349" i="1" s="1"/>
  <c r="Y349" i="1" s="1"/>
  <c r="W349" i="1"/>
  <c r="X350" i="1" s="1" a="1"/>
  <c r="X350" i="1" s="1"/>
  <c r="Y350" i="1" s="1"/>
  <c r="W350" i="1"/>
  <c r="W352" i="1"/>
  <c r="W354" i="1"/>
  <c r="W355" i="1"/>
  <c r="W333" i="1"/>
  <c r="W334" i="1"/>
  <c r="W335" i="1"/>
  <c r="W336" i="1"/>
  <c r="W337" i="1"/>
  <c r="W351" i="1"/>
  <c r="W353" i="1"/>
  <c r="W361" i="1"/>
  <c r="W356" i="1"/>
  <c r="X357" i="1" s="1" a="1"/>
  <c r="X357" i="1" s="1"/>
  <c r="Y357" i="1" s="1"/>
  <c r="W357" i="1"/>
  <c r="W358" i="1"/>
  <c r="W359" i="1"/>
  <c r="X360" i="1" s="1" a="1"/>
  <c r="X360" i="1" s="1"/>
  <c r="Y360" i="1" s="1"/>
  <c r="W360" i="1"/>
  <c r="W362" i="1"/>
  <c r="W363" i="1"/>
  <c r="W339" i="1"/>
  <c r="X340" i="1" s="1" a="1"/>
  <c r="X340" i="1" s="1"/>
  <c r="W340" i="1"/>
  <c r="W338" i="1"/>
  <c r="X352" i="1" l="1" a="1"/>
  <c r="X352" i="1" s="1"/>
  <c r="Y352" i="1" s="1"/>
  <c r="X362" i="1" a="1"/>
  <c r="X362" i="1" s="1"/>
  <c r="Y362" i="1" s="1"/>
  <c r="X364" i="1" a="1"/>
  <c r="X364" i="1" s="1"/>
  <c r="Y364" i="1" s="1"/>
  <c r="X338" i="1" a="1"/>
  <c r="X338" i="1" s="1"/>
  <c r="X337" i="1" a="1"/>
  <c r="X337" i="1" s="1"/>
  <c r="X336" i="1" a="1"/>
  <c r="X336" i="1" s="1"/>
  <c r="X361" i="1" a="1"/>
  <c r="X361" i="1" s="1"/>
  <c r="X363" i="1" a="1"/>
  <c r="X363" i="1" s="1"/>
  <c r="Y363" i="1" s="1"/>
  <c r="X334" i="1" a="1"/>
  <c r="X334" i="1" s="1"/>
  <c r="X359" i="1" a="1"/>
  <c r="X359" i="1" s="1"/>
  <c r="Y359" i="1" s="1"/>
  <c r="X355" i="1" a="1"/>
  <c r="X355" i="1" s="1"/>
  <c r="Y355" i="1" s="1"/>
  <c r="X354" i="1" a="1"/>
  <c r="X354" i="1" s="1"/>
  <c r="Y354" i="1" s="1"/>
  <c r="X339" i="1" a="1"/>
  <c r="X339" i="1" s="1"/>
  <c r="X356" i="1" a="1"/>
  <c r="X356" i="1" s="1"/>
  <c r="Y356" i="1" s="1"/>
  <c r="X353" i="1" a="1"/>
  <c r="X353" i="1" s="1"/>
  <c r="X347" i="1" a="1"/>
  <c r="X347" i="1" s="1"/>
  <c r="Y347" i="1" s="1"/>
  <c r="X346" i="1" a="1"/>
  <c r="X346" i="1" s="1"/>
  <c r="Y346" i="1" s="1"/>
  <c r="X351" i="1" a="1"/>
  <c r="X351" i="1" s="1"/>
  <c r="Y351" i="1" s="1"/>
  <c r="X335" i="1" a="1"/>
  <c r="X335" i="1" s="1"/>
  <c r="X343" i="1" a="1"/>
  <c r="X343" i="1" s="1"/>
  <c r="Y343" i="1" s="1"/>
  <c r="X333" i="1" a="1"/>
  <c r="X333" i="1" s="1"/>
  <c r="X341" i="1" a="1"/>
  <c r="X341" i="1" s="1"/>
  <c r="Y341" i="1" s="1"/>
  <c r="X358" i="1" a="1"/>
  <c r="X358" i="1" s="1"/>
  <c r="Y358" i="1" s="1"/>
  <c r="W2" i="1"/>
  <c r="X3" i="1" s="1" a="1"/>
  <c r="X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Boivinet, Jean-Christophe /FR</author>
    <author>tc={89A9F284-0B3F-41F4-AE5C-0FE52B579C55}</author>
    <author>tc={29E94597-E02D-4BD0-B239-DD72A52A46FE}</author>
    <author>tc={D99C9038-6070-4AD4-93FD-580BC4F9C207}</author>
  </authors>
  <commentList>
    <comment ref="G82" authorId="0" shapeId="0" xr:uid="{734769D5-FEBD-41CF-A725-A6662FCC4107}">
      <text>
        <r>
          <rPr>
            <b/>
            <sz val="9"/>
            <color rgb="FF000000"/>
            <rFont val="Tahoma"/>
            <family val="2"/>
          </rPr>
          <t>Boivinet, Jean-Christophe /FR:</t>
        </r>
        <r>
          <rPr>
            <sz val="9"/>
            <color rgb="FF000000"/>
            <rFont val="Tahoma"/>
            <family val="2"/>
          </rPr>
          <t xml:space="preserve">
</t>
        </r>
        <r>
          <rPr>
            <sz val="9"/>
            <color rgb="FF000000"/>
            <rFont val="Tahoma"/>
            <family val="2"/>
          </rPr>
          <t>Power Center in NGDC shouldn't be used anymore</t>
        </r>
      </text>
    </comment>
    <comment ref="K202" authorId="1" shapeId="0" xr:uid="{89A9F284-0B3F-41F4-AE5C-0FE52B579C55}">
      <text>
        <t>[Threaded comment]
Your version of Excel allows you to read this threaded comment; however, any edits to it will get removed if the file is opened in a newer version of Excel. Learn more: https://go.microsoft.com/fwlink/?linkid=870924
Comment:
    Parts of Up2Date process</t>
      </text>
    </comment>
    <comment ref="G225" authorId="0" shapeId="0" xr:uid="{421CDDC4-3CCF-4AF9-88ED-45633664FFC3}">
      <text>
        <r>
          <rPr>
            <b/>
            <sz val="9"/>
            <color indexed="81"/>
            <rFont val="Tahoma"/>
            <family val="2"/>
          </rPr>
          <t>Boivinet, Jean-Christophe /FR:</t>
        </r>
        <r>
          <rPr>
            <sz val="9"/>
            <color indexed="81"/>
            <rFont val="Tahoma"/>
            <family val="2"/>
          </rPr>
          <t xml:space="preserve">
Cloud Informatica
Since Jan 22 has been only executed by André Blanchette
</t>
        </r>
      </text>
    </comment>
    <comment ref="K234" authorId="2" shapeId="0" xr:uid="{29E94597-E02D-4BD0-B239-DD72A52A46FE}">
      <text>
        <t>[Threaded comment]
Your version of Excel allows you to read this threaded comment; however, any edits to it will get removed if the file is opened in a newer version of Excel. Learn more: https://go.microsoft.com/fwlink/?linkid=870924
Comment:
    Schedule manually based on the information from the non-project request</t>
      </text>
    </comment>
    <comment ref="K238" authorId="3" shapeId="0" xr:uid="{D99C9038-6070-4AD4-93FD-580BC4F9C207}">
      <text>
        <t>[Threaded comment]
Your version of Excel allows you to read this threaded comment; however, any edits to it will get removed if the file is opened in a newer version of Excel. Learn more: https://go.microsoft.com/fwlink/?linkid=870924
Comment:
    Parts of Up2Date process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8D4E86-D7CC-437A-9AB8-97090FEB4BB6}" keepAlive="1" name="Requête - BR_setup_New_Sharepoint_incl_WU_and_capex3" description="Connexion à la requête « BR_setup_New_Sharepoint_incl_WU_and_capex3 » dans le classeur." type="5" refreshedVersion="0" background="1">
    <dbPr connection="Provider=Microsoft.Mashup.OleDb.1;Data Source=$Workbook$;Location=BR_setup_New_Sharepoint_incl_WU_and_capex3;Extended Properties=&quot;&quot;" command="SELECT * FROM [BR_setup_New_Sharepoint_incl_WU_and_capex3]"/>
  </connection>
  <connection id="2" xr16:uid="{434DFBB6-D912-41A8-8248-A8CD2F6FC417}" keepAlive="1" name="Requête - Brick_Portfolio_New_Sharepoint (2)" description="Connexion à la requête « Brick_Portfolio_New_Sharepoint (2) » dans le classeur." type="5" refreshedVersion="6" background="1" saveData="1">
    <dbPr connection="Provider=Microsoft.Mashup.OleDb.1;Data Source=$Workbook$;Location=&quot;Brick_Portfolio_New_Sharepoint (2)&quot;;Extended Properties=&quot;&quot;" command="SELECT * FROM [Brick_Portfolio_New_Sharepoint (2)]"/>
  </connection>
  <connection id="3" xr16:uid="{B4298CDF-4F0E-4163-9A38-969003E29FEC}" keepAlive="1" name="Requête - Bundle_Portfolio_New_Sharepoint (2)" description="Connexion à la requête « Bundle_Portfolio_New_Sharepoint (2) » dans le classeur." type="5" refreshedVersion="6" background="1" saveData="1">
    <dbPr connection="Provider=Microsoft.Mashup.OleDb.1;Data Source=$Workbook$;Location=&quot;Bundle_Portfolio_New_Sharepoint (2)&quot;;Extended Properties=&quot;&quot;" command="SELECT * FROM [Bundle_Portfolio_New_Sharepoint (2)]"/>
  </connection>
  <connection id="4" xr16:uid="{F5AC3DC2-A099-427A-B2F7-B1B1433A3D64}" keepAlive="1" name="Requête - Bundle_Setup_New_Sharepoint9" description="Connexion à la requête « Bundle_Setup_New_Sharepoint9 » dans le classeur." type="5" refreshedVersion="0" background="1">
    <dbPr connection="Provider=Microsoft.Mashup.OleDb.1;Data Source=$Workbook$;Location=Bundle_Setup_New_Sharepoint9;Extended Properties=&quot;&quot;" command="SELECT * FROM [Bundle_Setup_New_Sharepoint9]"/>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<sst xmlns="http://schemas.openxmlformats.org/spreadsheetml/2006/main" count="7617" uniqueCount="1454">
  <si>
    <t>This HOW TO Tab explains how the Service Catalog works and provides explanation around the filters and the columns displayed.</t>
  </si>
  <si>
    <t xml:space="preserve">Column called "Work Unit Identifier (WU Id)" is to determine if a Service catalog item is on PMS or BAU/IMS side. </t>
  </si>
  <si>
    <t>Naming convention:</t>
  </si>
  <si>
    <r>
      <t>&lt;</t>
    </r>
    <r>
      <rPr>
        <b/>
        <sz val="11"/>
        <color rgb="FFC00000"/>
        <rFont val="Calibri"/>
        <family val="2"/>
        <scheme val="minor"/>
      </rPr>
      <t>contract capability</t>
    </r>
    <r>
      <rPr>
        <b/>
        <sz val="11"/>
        <color theme="1"/>
        <rFont val="Calibri"/>
        <family val="2"/>
        <scheme val="minor"/>
      </rPr>
      <t>&gt;_&lt;</t>
    </r>
    <r>
      <rPr>
        <b/>
        <sz val="11"/>
        <color rgb="FFC00000"/>
        <rFont val="Calibri"/>
        <family val="2"/>
        <scheme val="minor"/>
      </rPr>
      <t>work unit type</t>
    </r>
    <r>
      <rPr>
        <b/>
        <sz val="11"/>
        <color theme="1"/>
        <rFont val="Calibri"/>
        <family val="2"/>
        <scheme val="minor"/>
      </rPr>
      <t>&gt;_&lt;</t>
    </r>
    <r>
      <rPr>
        <b/>
        <sz val="11"/>
        <color rgb="FFC00000"/>
        <rFont val="Calibri"/>
        <family val="2"/>
        <scheme val="minor"/>
      </rPr>
      <t>increment</t>
    </r>
    <r>
      <rPr>
        <b/>
        <sz val="11"/>
        <color theme="1"/>
        <rFont val="Calibri"/>
        <family val="2"/>
        <scheme val="minor"/>
      </rPr>
      <t>&gt;</t>
    </r>
  </si>
  <si>
    <t>&lt;contract capability&gt;</t>
  </si>
  <si>
    <t>PMS</t>
  </si>
  <si>
    <t>Related to Project Managed Services (PMS) - Billable by the project</t>
  </si>
  <si>
    <t>IMS</t>
  </si>
  <si>
    <t>Related to IMS Run - Not billable, part of BAU activities</t>
  </si>
  <si>
    <t>&lt;work unit type&gt;</t>
  </si>
  <si>
    <t>WU</t>
  </si>
  <si>
    <t>Basic technical Work Unit, typically a simple technical task or non-severable set of tasks</t>
  </si>
  <si>
    <t>&lt;increment&gt;</t>
  </si>
  <si>
    <r>
      <rPr>
        <b/>
        <sz val="11"/>
        <color rgb="FFC00000"/>
        <rFont val="Calibri"/>
        <family val="2"/>
        <scheme val="minor"/>
      </rPr>
      <t>0</t>
    </r>
    <r>
      <rPr>
        <sz val="11"/>
        <color theme="8"/>
        <rFont val="Calibri"/>
        <family val="2"/>
        <scheme val="minor"/>
      </rPr>
      <t>xxx</t>
    </r>
  </si>
  <si>
    <t>WU in the global scope of Sanofi</t>
  </si>
  <si>
    <r>
      <rPr>
        <b/>
        <sz val="11"/>
        <color rgb="FFC00000"/>
        <rFont val="Calibri"/>
        <family val="2"/>
        <scheme val="minor"/>
      </rPr>
      <t>8</t>
    </r>
    <r>
      <rPr>
        <sz val="11"/>
        <color theme="8"/>
        <rFont val="Calibri"/>
        <family val="2"/>
        <scheme val="minor"/>
      </rPr>
      <t>xxx</t>
    </r>
  </si>
  <si>
    <t xml:space="preserve">Newly created WU because of new activity identified </t>
  </si>
  <si>
    <t>Business Scope</t>
  </si>
  <si>
    <t xml:space="preserve">Values </t>
  </si>
  <si>
    <t xml:space="preserve">Global </t>
  </si>
  <si>
    <t xml:space="preserve">WU for all business scope </t>
  </si>
  <si>
    <t xml:space="preserve">IA Site </t>
  </si>
  <si>
    <t>WU only applicable for IA site</t>
  </si>
  <si>
    <t>Hosting Environment</t>
  </si>
  <si>
    <t>For exemple On Prem; Cloud, NGDC...</t>
  </si>
  <si>
    <t>Indicated if the WU is application on Prem; on cloud;  On NGDC...</t>
  </si>
  <si>
    <t xml:space="preserve">Tech Tower </t>
  </si>
  <si>
    <t>For exemple SAP; UNIX; Scheduling...</t>
  </si>
  <si>
    <t xml:space="preserve">Related to the technology tower involve in the WU </t>
  </si>
  <si>
    <t>Technology</t>
  </si>
  <si>
    <t>For exemple SAP; UNIX; HP-UX; Solaris</t>
  </si>
  <si>
    <t xml:space="preserve">Related to the technology included for the  WU </t>
  </si>
  <si>
    <t>Activities Category</t>
  </si>
  <si>
    <t>For exemple Migration;  Configuration</t>
  </si>
  <si>
    <t xml:space="preserve">Categorize the  WU's  activity </t>
  </si>
  <si>
    <t xml:space="preserve">Project related services </t>
  </si>
  <si>
    <t xml:space="preserve">For exemple : Installation of new switch </t>
  </si>
  <si>
    <t xml:space="preserve">Short title for the WU </t>
  </si>
  <si>
    <t>Activity Break-up details=&gt; This column describe the work to do in the detail</t>
  </si>
  <si>
    <t>Standard Request  in SNOW</t>
  </si>
  <si>
    <t xml:space="preserve">Standard Request link in Snow =&gt; This is the link with Snow's standard request if existing </t>
  </si>
  <si>
    <t xml:space="preserve">Change Model Reference ID in SNOW =&gt; This is the link with Snow's change model reference if existing </t>
  </si>
  <si>
    <t>PMS Billing unit =&gt; Billing could be by CI, By deployment, by Unit ....</t>
  </si>
  <si>
    <t>UNIQUE PRICE per hour</t>
  </si>
  <si>
    <t xml:space="preserve">PMS effort in hours=&gt; Time to realize the WU </t>
  </si>
  <si>
    <t xml:space="preserve">PMS Price =&gt; Price for the WU selected </t>
  </si>
  <si>
    <t xml:space="preserve">PMS Std Delivery leadtime (days) =&gt; SLA for the WU </t>
  </si>
  <si>
    <t xml:space="preserve">Sanofi Service Owner =&gt; Owner for this line of service, need to be involved votre change on this WU </t>
  </si>
  <si>
    <t>PMS WU //° rate %</t>
  </si>
  <si>
    <t xml:space="preserve">0 to X% </t>
  </si>
  <si>
    <t xml:space="preserve">In case of many WU, PMS can parallelize activities. In this case, the first WU is billing in totality and the second one to the X one will be billing with the % parallelize rate. </t>
  </si>
  <si>
    <t>Comments</t>
  </si>
  <si>
    <t>CAB validation date</t>
  </si>
  <si>
    <t xml:space="preserve">Productivity reference date </t>
  </si>
  <si>
    <t xml:space="preserve">Date for the calculation of the productivity  8 % foir the first year and after 2 years and more 10 % </t>
  </si>
  <si>
    <t>Year Apply</t>
  </si>
  <si>
    <t>% Apply</t>
  </si>
  <si>
    <t>Final price with productivity</t>
  </si>
  <si>
    <t>WU Id</t>
  </si>
  <si>
    <t>Tech Tower</t>
  </si>
  <si>
    <t>Project related Services</t>
  </si>
  <si>
    <t>Column1</t>
  </si>
  <si>
    <t>Standard Request link in SNOW</t>
  </si>
  <si>
    <t>Change Model Reference ID in SNOW</t>
  </si>
  <si>
    <t>Billing unit</t>
  </si>
  <si>
    <t>PMS Effort (Hours)</t>
  </si>
  <si>
    <t xml:space="preserve">PMS Price with Unique price </t>
  </si>
  <si>
    <t xml:space="preserve"> Std Delivery Leadtime (Days)</t>
  </si>
  <si>
    <t>SANOFI Service owner - Service Expert - Service Manager</t>
  </si>
  <si>
    <t>PMS WU //° rate (%)</t>
  </si>
  <si>
    <t xml:space="preserve">Cab validation date </t>
  </si>
  <si>
    <t>Service Catalog  VERSION</t>
  </si>
  <si>
    <t xml:space="preserve">Year apply </t>
  </si>
  <si>
    <t xml:space="preserve">%Apply </t>
  </si>
  <si>
    <t>Final Price (with Productivity)</t>
  </si>
  <si>
    <t>WRITE HERE THE NUMBER that you need for : JOBS for PMS_WU_7003 and 7002 OR  for WU PMS_WU_2017 and 2020 and 2241 and 2242</t>
  </si>
  <si>
    <t>IMS/PMS</t>
  </si>
  <si>
    <t>IMS_WU_0001</t>
  </si>
  <si>
    <t>Global</t>
  </si>
  <si>
    <t>On Prem / Cloud</t>
  </si>
  <si>
    <t>API</t>
  </si>
  <si>
    <t>Configuration</t>
  </si>
  <si>
    <t>API Deployment</t>
  </si>
  <si>
    <t xml:space="preserve">
1. Move APIs to external Gateway according to request
2. Move APIs to internal Gateway according to request
3. IQF creation</t>
  </si>
  <si>
    <t>GAMS (API) Service Request</t>
  </si>
  <si>
    <t>https://sanofiservices.service-now.com/onesupport?id=sc_cat_item_guide&amp;table=sc_cat_item&amp;sys_id=f682ea9a1b4c9914d849206e3b4bcb84</t>
  </si>
  <si>
    <t>ITS-CHMOD0003855</t>
  </si>
  <si>
    <t>Per Deployment</t>
  </si>
  <si>
    <t xml:space="preserve">Service Owner - Expert - manager follow this link </t>
  </si>
  <si>
    <t>Not Applicable</t>
  </si>
  <si>
    <t>Initial baseline</t>
  </si>
  <si>
    <t>IMS_WU_0087</t>
  </si>
  <si>
    <t>On_Prem</t>
  </si>
  <si>
    <t>DB--Oracle</t>
  </si>
  <si>
    <t>Oracle</t>
  </si>
  <si>
    <t>Minor Upgrade</t>
  </si>
  <si>
    <t>DB Upgrade</t>
  </si>
  <si>
    <t>DB update at patch level</t>
  </si>
  <si>
    <t xml:space="preserve">Per Database </t>
  </si>
  <si>
    <t>To Define Q2 2025</t>
  </si>
  <si>
    <t>IMS_WU_0088</t>
  </si>
  <si>
    <t>Disaster Recovery Execution</t>
  </si>
  <si>
    <t>DR 12c/RAC Execution / recurring testing</t>
  </si>
  <si>
    <t>Prechecks 
Check whether Prod and DR database are in sync.
Check for database backup have completed before start of the DR activity.
Implementation
Switch over to the DR database.
After application team testing is completed.
Switch back db to Actual prod database.
Post Check 
Check database backup is completing it successfully.</t>
  </si>
  <si>
    <t>Oracle Operations</t>
  </si>
  <si>
    <t>https://sanofiservices.service-now.com/onesupport?id=sc_cat_item_guide&amp;table=sc_cat_item&amp;sys_id=8ef52e074f098fc4cb48c0428110c701</t>
  </si>
  <si>
    <t>ITS-CHMOD0001381</t>
  </si>
  <si>
    <t>IMS_WU_0094</t>
  </si>
  <si>
    <t>DB--SQL</t>
  </si>
  <si>
    <t>MS SQL</t>
  </si>
  <si>
    <t>Replication Setup</t>
  </si>
  <si>
    <t xml:space="preserve">L3 Coordination  activities:
*Colelcting all required details in GIFT. 
</t>
  </si>
  <si>
    <t>SQL Server Operations</t>
  </si>
  <si>
    <t>https://sanofiservices.service-now.com/onesupport?id=sc_cat_item_guide&amp;table=sc_cat_item&amp;sys_id=d2802610db198f8805ea766eaf961961</t>
  </si>
  <si>
    <t>ITS-CHMOD0000444</t>
  </si>
  <si>
    <t>Per replication</t>
  </si>
  <si>
    <t>IMS_WU_0095</t>
  </si>
  <si>
    <t xml:space="preserve">SQL AlwaysOn/HADR Configuration </t>
  </si>
  <si>
    <t>L3 Coordination Activities:
*Co-ordinating with OS team, Network team, storage team for cluster Name, IPs, domain details, listener name, IP details. 
* Collecting Listener object and Computer object details. - 
* Verifying the CRQ is having all required information. - 
* Verifying the pre check points for configuration. 
L3 Implementaion Activities: : 
* Configuring AlwaysOn and Listener Name 
* Testing the configuration and validating the SQL AlwaysOn/HADR working fine.</t>
  </si>
  <si>
    <t>Instance</t>
  </si>
  <si>
    <t>IMS_WU_0096</t>
  </si>
  <si>
    <t>SQL Cluster/HA Configuration</t>
  </si>
  <si>
    <t xml:space="preserve">L3 Coordination Activities:
* Co-ordinating with OS team for cluster Name, IPs, domain details.
* Verifying the pre check points for configuration.Checking cluster validation report all OK. 
* Verifying the CRQ is created with accurate information is there to implement. 
L3 Implementaion Activities: : 
* Configure SQL server clustering -
*After configuration, do SQL cluster validation test and validate.(Cluster of 2 Nodes/SQL Instances) </t>
  </si>
  <si>
    <t>IMS_WU_0197</t>
  </si>
  <si>
    <t>Network Security</t>
  </si>
  <si>
    <t>Disaster Recovery Recurring testing</t>
  </si>
  <si>
    <t xml:space="preserve">Firewall/Proxy - Disaster recovery testing via performing  periodic resiliency Test </t>
  </si>
  <si>
    <t xml:space="preserve">Engage with all stakeholders/service owners for approved maintenance window
Prepare implementation plan 
Execute during maintenance window with application owner/tester availability 
Testing to prove DR capability </t>
  </si>
  <si>
    <t>No</t>
  </si>
  <si>
    <t xml:space="preserve">Per Device </t>
  </si>
  <si>
    <t>IMS_WU_0205</t>
  </si>
  <si>
    <t>Public_Cloud</t>
  </si>
  <si>
    <t>SCALe</t>
  </si>
  <si>
    <t>AWS; Azure; GCP</t>
  </si>
  <si>
    <t>Operations</t>
  </si>
  <si>
    <t xml:space="preserve">Deployment verification (pods running on OSE; not application verification) </t>
  </si>
  <si>
    <t>Per Project</t>
  </si>
  <si>
    <t>IMS_WU_0230</t>
  </si>
  <si>
    <t>Storage</t>
  </si>
  <si>
    <t>STORAGE</t>
  </si>
  <si>
    <t>Decommissioning</t>
  </si>
  <si>
    <t>Complete Storage Decommission</t>
  </si>
  <si>
    <t>L3 coordination:
Coordination with ITS, platform team, Vendor 
L3 Implementation Activities:
Cleanup and decommission activities</t>
  </si>
  <si>
    <t>ITS-CHMOD0001164</t>
  </si>
  <si>
    <t>per storage</t>
  </si>
  <si>
    <t>IMS_WU_0232</t>
  </si>
  <si>
    <t>Decommission SAN switch</t>
  </si>
  <si>
    <t>L3 coordination:
Coordination with ITS
L3 Implementation Activities:
Coordination with Proximity and Vendor
Remove port-channel 
CMDB update</t>
  </si>
  <si>
    <t>Per Switch</t>
  </si>
  <si>
    <t>V0.3</t>
  </si>
  <si>
    <t>IMS_WU_0234</t>
  </si>
  <si>
    <t>Disaster Recovery Testing - First time</t>
  </si>
  <si>
    <t xml:space="preserve">L3 coordination:
Requirement gathering and coordination with requestor and internal team
L3 Impementation Activities:
Execute switchover for DR testing and revert configuration when done </t>
  </si>
  <si>
    <t>Per DR</t>
  </si>
  <si>
    <t>IMS_WU_0239</t>
  </si>
  <si>
    <t>Firmware Mgt</t>
  </si>
  <si>
    <t>SAN Switch FWUpgrade</t>
  </si>
  <si>
    <t xml:space="preserve">L3 coordination:
Coordination with ITS, platform team, Vendor
L3 Implementation Activities:
Check the present code version of switch &amp; behaviour of switch performance with existing servers and the storage,redundancy path of each server which is connected to each of the switches in each fabric,validate no failure of hardware on existing switches in each fabric to accept the upgrade,
Need to peform pre-check just before upgrade,
Need to do post-check after performing the upgrade, Swich upgrade
</t>
  </si>
  <si>
    <t>IMS_WU_0242</t>
  </si>
  <si>
    <t>Storage FW/OS Upgrade - Netapp and Data Domain</t>
  </si>
  <si>
    <t xml:space="preserve">Storage FW Upgrade - Netapp and Data Domain:
L3 Implementation Activities:
Upgrade discussions on bug and compatibility checks and with vendors
pre and post check
Installing code and performing the upgrade
</t>
  </si>
  <si>
    <t>Per controller</t>
  </si>
  <si>
    <t>IMS_WU_0246</t>
  </si>
  <si>
    <t>Replace SAN switch</t>
  </si>
  <si>
    <t>L3 coordination:
Coordination with ITS
L3 Implementation Activities:
IP reconfigure
Port-Channel configuration
Coordinate with Proximity 
License addition
CMDB update</t>
  </si>
  <si>
    <t>IMS_WU_0247</t>
  </si>
  <si>
    <t>SAN cleaning</t>
  </si>
  <si>
    <t>L3 coordination:
Coordination with ITS, platform team, Proximity team
L3 Implementation Activities:
Clean zoning , aliases from hanging devices 
Rename devices &amp; zones to follow best practices and naming conventions</t>
  </si>
  <si>
    <t>Per Site (Does not matter room# and switch#)</t>
  </si>
  <si>
    <t>IMS_WU_0250</t>
  </si>
  <si>
    <t xml:space="preserve">Unix </t>
  </si>
  <si>
    <t>ESX; Linux</t>
  </si>
  <si>
    <t>Firmware Upgrade for Blade Planning and Coordination activities</t>
  </si>
  <si>
    <t>L3 Planning Activities:
- Analysis the Current firmware Level of Blade and
  Planning for order of System Firmware upgrade, Ilo,HBA,NIC
L3 Co-ordination Activities:
- Co-ordination and meeting with respective owner</t>
  </si>
  <si>
    <t>per blade</t>
  </si>
  <si>
    <t>If more than 2 blade it comes under PMS
Given time lines and scope of work appplicable.</t>
  </si>
  <si>
    <t>IMS_WU_0251</t>
  </si>
  <si>
    <t>HP-UX</t>
  </si>
  <si>
    <t>Firmware Upgrade for Enclosure(OA &amp; VC) Planning and Coordination activities</t>
  </si>
  <si>
    <t>L3 Planning Activities:
- Analysis the Current firmware Level and
  Planning for order of upgrade
L3 Co-ordination Activities:
- Co-ordination and meeting with respective owner</t>
  </si>
  <si>
    <t>per enclosure</t>
  </si>
  <si>
    <t>If more than 3 enclousers it comes under PMS
Given time lines and scope of work appplicable.</t>
  </si>
  <si>
    <t>IMS_WU_0257</t>
  </si>
  <si>
    <t>Linux; HP-UX; Solaris; AIX</t>
  </si>
  <si>
    <t>Disaster Recovery Recurring Execution</t>
  </si>
  <si>
    <t>L3 Activities: for DR Setup
- Review &amp; update Unix portion of the TRP plan  
- DR server configuration staging 
-Production site shutdown, DR site activation (releasing FS, Prod server shutdown, lockdown the PRD site; activate VG, FS, DR VIP, NFS on DR site)
- Server custom configuration at DR site . during test
-DR server reboot &amp; verification 
-Testing evidence gathering  .
- Unix support for application troubleshooting
- Testing coordination during the DR exercise 
- Reboot DR machine Test application along with SAP/DB 
- (releasing  VG, FS, DR VIP, NFS DR site; Unlocking and booting PROD site) 2.00 Hr
- Check High Availability (just verfication) 2.00 Hr
L3 Coordination:
DR Planning Meetings  (Batch Planing, multiple group step planning)</t>
  </si>
  <si>
    <t>IMS_WU_0258</t>
  </si>
  <si>
    <t>HA Test ( HP-UX,Linux,Solaris, AIX) - Modification on cluster configuration</t>
  </si>
  <si>
    <t xml:space="preserve">L3 Activities::
- Work with application team for CTM jobs to hold 
- Performing  HA testing with app stakeholder ( like DBA, SAP etc) 
L3 Co-ordination Activities:
Gather requirement in GIFT form and verify GIFT and ensure completeness.
</t>
  </si>
  <si>
    <t>2 nodes</t>
  </si>
  <si>
    <t>PMS_WU_0006</t>
  </si>
  <si>
    <t>Citrix</t>
  </si>
  <si>
    <t>Provisioning</t>
  </si>
  <si>
    <t>Application installation, configuration and publication</t>
  </si>
  <si>
    <t xml:space="preserve">L3 Implementation Activities:
- Prerequisite Installation 
- Application Installation
- Configuration of Parameters as per requirement
- Testing </t>
  </si>
  <si>
    <t>CITRIX XeNot Applicablepp – Application publication</t>
  </si>
  <si>
    <t>https://sanofiservices.service-now.com/onesupport?id=sc_cat_item&amp;table=sc_cat_item&amp;sys_id=66649e6bdb55430005ea766eaf96199c</t>
  </si>
  <si>
    <t>Per application</t>
  </si>
  <si>
    <t>PMS_WU_0008</t>
  </si>
  <si>
    <t>DB--Cloud</t>
  </si>
  <si>
    <t>AWS; GCP: RDS; PostgreSQL; MySQL; Aurora; SQL Server</t>
  </si>
  <si>
    <t xml:space="preserve">Instance provisioning  </t>
  </si>
  <si>
    <t>L3 Implementation activity : 
Prerequisite check
IQ – verification &amp; approvalr
L3 Coordination Activity:
Application Validation</t>
  </si>
  <si>
    <t>Cloud Database Operations</t>
  </si>
  <si>
    <t>https://sanofiservices.service-now.com/onesupport?id=sc_cat_item_guide&amp;table=sc_cat_item&amp;sys_id=6c7102ccdb8c2850c0dcedc40596190b</t>
  </si>
  <si>
    <t>ITS-CHMOD0004511</t>
  </si>
  <si>
    <t>Per Instance</t>
  </si>
  <si>
    <t>PMS_WU_0009</t>
  </si>
  <si>
    <t xml:space="preserve">Instance provisioning </t>
  </si>
  <si>
    <t xml:space="preserve">L3 Implementation activity : 
IQ Tasks Validation with Gifts form , evidences to be validated , logs to be checked and final approval : 
L3 Coordination Activity:
* Co-ordinating with application team to get the requirement 
* Verifying IQ post implementation </t>
  </si>
  <si>
    <t>ITS-CHMOD0001695</t>
  </si>
  <si>
    <t>PMS_WU_0010</t>
  </si>
  <si>
    <t>MS-SQL</t>
  </si>
  <si>
    <t xml:space="preserve">MS-SQL Instance Provisioning </t>
  </si>
  <si>
    <t xml:space="preserve">L3 Implementation activity : 
IQ Tasks Validation with Gifts form , evidences to be validated , logs to be checked and final approval : 2 
L3 Coordination Activity:
* Co-ordinating with application team to get the requirement :1 hour
* Verifying IQ post implementation : 1 </t>
  </si>
  <si>
    <t>ITS-CHMOD0004710</t>
  </si>
  <si>
    <t>PMS_WU_0011</t>
  </si>
  <si>
    <t>DOTNET--IIS</t>
  </si>
  <si>
    <t>IIS</t>
  </si>
  <si>
    <t>New website creation for specific application</t>
  </si>
  <si>
    <t>Implementation Activities: 
Execution steps by DOTNET
1. Site creation
2. Site binding 
3. Content placement
4. IIS module installation. Not mandatory step
5. New certificate generation.</t>
  </si>
  <si>
    <t>Web Digital Operations Link</t>
  </si>
  <si>
    <t>https://sanofiservices.service-now.com/onesupport?id=sc_cat_item_guide&amp;table=sc_cat_item&amp;sys_id=6353706ddb28b810c0dcedc4059619d2</t>
  </si>
  <si>
    <t>ITS-CHMOD0001334</t>
  </si>
  <si>
    <t>Per site creation</t>
  </si>
  <si>
    <t>PMS_WU_0012</t>
  </si>
  <si>
    <t>Installation Application per environments and standardization as client requirements</t>
  </si>
  <si>
    <t>L3 Implementation Activities: 
1. Installation procedure pre-requisite checks 
2. Application installation
3. Configuration changes
4. Post installation application verification
5. Testing of the application functionality</t>
  </si>
  <si>
    <t>ITS-CHMOD0004085</t>
  </si>
  <si>
    <t>PMS_WU_0019</t>
  </si>
  <si>
    <t>Java - Apache/Tomcat</t>
  </si>
  <si>
    <t>Apache; Tomcat</t>
  </si>
  <si>
    <t>Configuration of Apache/Tomcat (New environment Creation)</t>
  </si>
  <si>
    <t>Co-ordination Activity:
 Requirement gathering from application teams
Implementation activity : 
1. Pre-Requisites Check
2. Web server and Middleware deployment
3. Configuration</t>
  </si>
  <si>
    <t>ITS-CHMOD0001332</t>
  </si>
  <si>
    <t>per instance</t>
  </si>
  <si>
    <t>PMS_WU_0020</t>
  </si>
  <si>
    <t>Web Server - Deployment (new)</t>
  </si>
  <si>
    <t xml:space="preserve"> Co-ordination Activity:
2. Requirement gathering from application teams - 
 Implementation activity : 
1. Web server and Middleware deployment 
2. IQ document Creation</t>
  </si>
  <si>
    <t>ITS-CHMOD0003114</t>
  </si>
  <si>
    <t>per environment</t>
  </si>
  <si>
    <t>PMS_WU_0021</t>
  </si>
  <si>
    <t>Java - JBOSS</t>
  </si>
  <si>
    <t>JBOSS</t>
  </si>
  <si>
    <t>Installation of webhosting platforms featuring high availability, clustered environment with workload management. Installation of dedicated or standard mutualized environment</t>
  </si>
  <si>
    <t xml:space="preserve">Implementation activity : 
1. Pre-Requisites Check 
2. Installation of the software
3. Configuration of HA and clustering
4. Other Configuration changes 
5. Post installation validation/testing </t>
  </si>
  <si>
    <t>Per installation</t>
  </si>
  <si>
    <t>PMS_WU_0023</t>
  </si>
  <si>
    <t>On_Prem_Public_Cloud</t>
  </si>
  <si>
    <t>SAP</t>
  </si>
  <si>
    <t>SAP New Installation</t>
  </si>
  <si>
    <t>New Addition:
L3 Preparation and Coordination Activities:
Validating the Installable compatibilty and Downloading Installables
Reviewing Notes
L3 Implementation Activities:
1. Planning
    Planning Checklist
    Changed File System Structure and Profiles for SAP Systems
    Installation Using a Stack Configuration File
    Hardware and Software Requirements
    Basic Installation Parameters (both SAP and DB)
    SAP System Transport Host
2. Preparation
    Preparation Checklist
    Creating Operating System Users and Groups
    Required File Systems and Directories
    SAP/DB Directories
    Preparing the Installation Media
    Downloading the Software Provisioning Manager
    Downloading SAP Kernel 
    Downloading the Complete Installation Media
3. Installation 
   Database Software Installation
   SAP Installation 
4. Post-Installation 
   Installing the SAP License
   Performing the Consistency Check
   Configuring the Change and Transport System
   Performing Post-Installation Steps for the ABAP Application Server
   Performing the Client Copy
   Performing Oracle-Specific Post-Installation Steps
   Performing a Full Installation Backup</t>
  </si>
  <si>
    <t>PMS_WU_0026</t>
  </si>
  <si>
    <t>Linux; EC2; AWS; GCP</t>
  </si>
  <si>
    <t>Linux EC2 / GCP Provisioning</t>
  </si>
  <si>
    <t>Prerequisite check
IQ – verification &amp; approval</t>
  </si>
  <si>
    <t>Public Cloud - AWS or GCP - Windows &amp; Linux Server (Standard, IIS, JBoss, Apache)</t>
  </si>
  <si>
    <t>https://sanofiservices.service-now.com/onesupport?id=sc_cat_item_guide&amp;table=sc_cat_item&amp;sys_id=ec57c51b1bd3fb8017d3fddacd4bcb9b</t>
  </si>
  <si>
    <t>ITS-CHMOD0003952</t>
  </si>
  <si>
    <t>Per VM</t>
  </si>
  <si>
    <t>Prerequisite check
IQ – verification &amp; approval. Along with this we are good with end to end build process.</t>
  </si>
  <si>
    <t>PMS_WU_0030</t>
  </si>
  <si>
    <t>HP-UX; Linux; Solaris</t>
  </si>
  <si>
    <t>Standalone Blade Server Build</t>
  </si>
  <si>
    <t>L3 Implementation Activities:
VCEM profile- if its a blade server build its applicable, incase of rack mount server build same task will be skipped.
Post build Customization-  bonding and IP details configuration
L3 Co-ordination Activities:
Gather requirement in GIFT form and verify GIFT and ensure completeness.
Prepare and Approve IQ document .</t>
  </si>
  <si>
    <t>ITS-CHMOD0001326</t>
  </si>
  <si>
    <t>per Blade</t>
  </si>
  <si>
    <t>i) if the server is a bladeserver, VCEM profile and vswitch configuration task applicable. If rack mounted server this wont applicable.
Ii) in GIFT form ILO details(IP and credentials) and Network information details need to be provided.
Iii) If all required details provided in GIFT form given time lines applicable.</t>
  </si>
  <si>
    <t>PMS_WU_0032</t>
  </si>
  <si>
    <t>WINDOWS</t>
  </si>
  <si>
    <t>Windows; EC2; AWS</t>
  </si>
  <si>
    <t>Windows EC2 Provisioning</t>
  </si>
  <si>
    <t xml:space="preserve">	- Prerequisite check
	- IQ – verification &amp; approval</t>
  </si>
  <si>
    <t>ITS-CHMOD0003951</t>
  </si>
  <si>
    <t>PMS_WU_0037</t>
  </si>
  <si>
    <t>API Portal creation</t>
  </si>
  <si>
    <t>1.Portal in Test Namespace 
2. Implement  multitenant architecture aligned with Sanofi internal API Team
3. Deploy in DEV and UAT 
4. deploy in PROD 
5. Other steps to be aligned with the project</t>
  </si>
  <si>
    <t>Per Server</t>
  </si>
  <si>
    <t>V0.4</t>
  </si>
  <si>
    <t>PMS_WU_0038</t>
  </si>
  <si>
    <t>Migration</t>
  </si>
  <si>
    <t>API Platform migration</t>
  </si>
  <si>
    <t xml:space="preserve">1. Taking Back -up of previous version - Files/codes/mysql/gateway
2. Check the infrastructure if it is onpremise or container following the API Team requirements 
3. Copy the new version files, upload and install 
4. Update the dependency as per the version(oauth, mag services)
5. Restarting the server &amp; post installation validation - 
6. Validation document IQF creation </t>
  </si>
  <si>
    <t>Per Server/Per Version Upgrade</t>
  </si>
  <si>
    <t>PMS_WU_0039</t>
  </si>
  <si>
    <t>API Platform  decommisioning</t>
  </si>
  <si>
    <t>Viviane to review
1. Validation of the Identified API Objects for decomm readiness
2. switch Off Monitoring and Configurations to be untagged
3. Shut down API components</t>
  </si>
  <si>
    <t>PMS_WU_0040</t>
  </si>
  <si>
    <t>Appian/BPM</t>
  </si>
  <si>
    <t>BPM Appian</t>
  </si>
  <si>
    <t>Installation &amp; Migration of applications to higher environment with re-platforming or re-development(Jboss,Apache,Tomcat,Weblogic,Websphere)</t>
  </si>
  <si>
    <t>L3 Implementation Activities: 
1. Installation procedure pre-requisite checks 
2. Application re-installation/migration
3. Configuration changes
4. Post installation application verification
5. Testing of the application functionality</t>
  </si>
  <si>
    <t>APPIAN PLATFORM Application Deployment request</t>
  </si>
  <si>
    <t>https://sanofiservices.service-now.com/onesupport?id=sc_cat_item&amp;table=sc_cat_item&amp;sys_id=6fa5cb161baaf7c417d3fddacd4bcb4b</t>
  </si>
  <si>
    <t>ITS-CHMOD0003114
ITS-CHMOD0003117</t>
  </si>
  <si>
    <t>PMS_WU_0041</t>
  </si>
  <si>
    <t>Apache/Tomcat</t>
  </si>
  <si>
    <t>Co-ordination Activity:
 Requirement gathering from application teams
Implementation activity : 
1. Pre-Requisites Check 
2. Web server and Middleware deployment
3. Configuration</t>
  </si>
  <si>
    <t>PMS_WU_0042</t>
  </si>
  <si>
    <t xml:space="preserve"> Co-ordination Activity:
2. Requirement gathering from application teams
 Implementation activity : 
1. Web server and Middleware deployment
2. IQ document Creation</t>
  </si>
  <si>
    <t>PMS_WU_0043</t>
  </si>
  <si>
    <t>Installation of new WebServer and Application server environments and standardization as client requirements</t>
  </si>
  <si>
    <t>Implementation activity : 
1. Pre-Requisites Check
2. Installation of the software
3. Configuration changes
4. Post installation validation/testing</t>
  </si>
  <si>
    <t>PMS_WU_0044</t>
  </si>
  <si>
    <t xml:space="preserve">Implementation activity : 
1. Pre-Requisites Check
2. Installation of the software
3. Configuration of HA and clustering
4. Other Configuration changes
5. Post installation validation/testing </t>
  </si>
  <si>
    <t>PMS_WU_0053</t>
  </si>
  <si>
    <t>BI--App Deployments</t>
  </si>
  <si>
    <t>Deployments of BI apps on-prem, mobile and PaaS (including packages and reports)</t>
  </si>
  <si>
    <t>L3 Implementation Activities:
Deployment pre-requisites
App Deployment
Configuration Changes
Post deployment application validation testing</t>
  </si>
  <si>
    <t>Business Intelligence (BI) - CreatioNot Applicabledministration/Configuration</t>
  </si>
  <si>
    <t>https://sanofiservices.service-now.com/onesupport?id=sc_cat_item&amp;table=sc_cat_item&amp;sys_id=75205b064fa9cf40cb48c0428110c778</t>
  </si>
  <si>
    <t>PMS_WU_0054</t>
  </si>
  <si>
    <t>BI--Cloud</t>
  </si>
  <si>
    <t>Cognos; QLIKSENSE; QLIKVIEW; SAP BO; Tibco Spotfire</t>
  </si>
  <si>
    <t>BI platform installation and configuration related issues cloud based or PaaS mode as per BI service definition, design and specifications - Cognos/QLIKSENSE/QLIKVIEW/SAP BO/Tibco Spotfire</t>
  </si>
  <si>
    <t>L3 Implementation Activities:
Installation 
Configuration Changes 
Testing</t>
  </si>
  <si>
    <t>Per Unit</t>
  </si>
  <si>
    <t>PMS_WU_0056</t>
  </si>
  <si>
    <t>BI--Cognos/TM1</t>
  </si>
  <si>
    <t>Cognos; TM1</t>
  </si>
  <si>
    <t>Application Installation, configuration, management</t>
  </si>
  <si>
    <t>L3 Implementation Activities:
Application Installation
Configuration Changes
Testing</t>
  </si>
  <si>
    <t>PMS_WU_0061</t>
  </si>
  <si>
    <t>BI--Package Deployments</t>
  </si>
  <si>
    <t>Deploy of ad-hoc packages</t>
  </si>
  <si>
    <t>L3 Implementation Activities:
Deployment pre-requisites
Package Deployment
Configuration Changes
Post deployment testing</t>
  </si>
  <si>
    <t>PMS_WU_0064</t>
  </si>
  <si>
    <t>BI--QLIKSENSE</t>
  </si>
  <si>
    <t>Qliksense</t>
  </si>
  <si>
    <t>L3 Implementation Activities:
Installation
Configuration Change
Testing</t>
  </si>
  <si>
    <t>PMS_WU_0066</t>
  </si>
  <si>
    <t>PMS_WU_0069</t>
  </si>
  <si>
    <t>BI--SAP BO</t>
  </si>
  <si>
    <t>Business Objects</t>
  </si>
  <si>
    <t>Installation (multiple nodes)</t>
  </si>
  <si>
    <t>PMS_WU_0070</t>
  </si>
  <si>
    <t>Installation (one node)</t>
  </si>
  <si>
    <t>PMS_WU_0071</t>
  </si>
  <si>
    <t>PMS_WU_0072</t>
  </si>
  <si>
    <t>BI--SAS Analytics</t>
  </si>
  <si>
    <t>SAS</t>
  </si>
  <si>
    <t>SAS--Platform Installation &amp; configuration management</t>
  </si>
  <si>
    <t>PMS_WU_0073</t>
  </si>
  <si>
    <t>SAS--Application Installation &amp; configuration management</t>
  </si>
  <si>
    <t>PMS_WU_0074</t>
  </si>
  <si>
    <t>BI--Tableau</t>
  </si>
  <si>
    <t>Tableau</t>
  </si>
  <si>
    <t>PMS_WU_0075</t>
  </si>
  <si>
    <t>PMS_WU_0076</t>
  </si>
  <si>
    <t>PMS_WU_0077</t>
  </si>
  <si>
    <t>BI--Tibco Spotfire</t>
  </si>
  <si>
    <t>Tibco Spotfire</t>
  </si>
  <si>
    <t>Installation (one server)</t>
  </si>
  <si>
    <t>PMS_WU_0078</t>
  </si>
  <si>
    <t>PMS_WU_0080</t>
  </si>
  <si>
    <t>Build of Citrix STOREFRONT</t>
  </si>
  <si>
    <t>L3 Implementation Activity details:
1. Install Microsoft .NET Framework 
2. Enable .Net features
3. Install StoreFront
4. Configure firewall to allow port 80 &amp; 443
5. Create site
6. Customise StoreFront</t>
  </si>
  <si>
    <t>Per Storefront</t>
  </si>
  <si>
    <t>PMS_WU_0084</t>
  </si>
  <si>
    <t>CDB provisioning on existing cluster</t>
  </si>
  <si>
    <t>L3 Co-ordination Activity:
* Gather requirement in GAHS form and verify GAHS and ensure completeness
* Co-ordination with L2 UNIX and  SAN team for storage allocation
L3 Implementaion activity : 
 * Addition of new ASM disks to the existing diskgroups. : 
 * Oracle RAC instance creation on primary node 
 * Addition of second instance to the RAC database
 * Perform a HA test :</t>
  </si>
  <si>
    <t>ITS-CHMOD0001395</t>
  </si>
  <si>
    <t>per CDB</t>
  </si>
  <si>
    <t>PMS_WU_0085</t>
  </si>
  <si>
    <t>Database Migration (RAC plus DG)</t>
  </si>
  <si>
    <t xml:space="preserve">L3 Implementation Activities:
- Create the target platform for the migration
- Migrate using RMAN / Final review before release
L3 Coordination Activities : 
Meeting to understand the complexity/ architecture </t>
  </si>
  <si>
    <t>Per database</t>
  </si>
  <si>
    <t>PMS_WU_0086</t>
  </si>
  <si>
    <t>Database Migration (Simple)</t>
  </si>
  <si>
    <t>L3 Activities: 
Plan A: Migrate using Export/Import (traditional export/Datapump)
- Create database in target host -2
- Take backup and apply the backup in target database 2
Plan B: Migrate using RMAN Backup 
- Create database instance in target server -2 
- Apply the backup in the target database -2</t>
  </si>
  <si>
    <t>ITS-CHMOD0000431</t>
  </si>
  <si>
    <t>PMS_WU_0088</t>
  </si>
  <si>
    <t>Disaster Recovery Setup</t>
  </si>
  <si>
    <t>DR Setup for 12c/RAC</t>
  </si>
  <si>
    <t xml:space="preserve">L3 Co-ordination Activity:
* Gather requirement in GIFT form and verify GIFT and ensure completeness.s
* Co-ordination with L2 UNIX/ SAN/ NETWORK TEAM for storage. 
* Coordination for DR testing. : 
L3 Implementaion activity :
 * Addition of new ASM disks to the existing diskgroups. : 
 * Clusterwire build on 2 servers  
 * DB Build on 2 nodes 
 * RMAN cloning from Primary to Standby :
 * Configure DataGuard broker : 
 * DR testing :
 * IQ preparation and approval : </t>
  </si>
  <si>
    <t>per DB</t>
  </si>
  <si>
    <t>PMS_WU_0089</t>
  </si>
  <si>
    <t>Oracle RAC</t>
  </si>
  <si>
    <t xml:space="preserve">RAC Instance Provisioning </t>
  </si>
  <si>
    <t>L3 Co-ordination Activity: 13
* Gather requirement in GIFT form and verify GIFT and ensure completeness.
* Co-ordination with L2 UNIX/ SAN/ NETWORK TEAM . 
* Verifying the RAC  Instance best practices are implemented.
L3 Implementaion activity : 
 * Clusterwire build - 7
 * DB Build - 5</t>
  </si>
  <si>
    <t>ITS-CHMOD0004042</t>
  </si>
  <si>
    <t xml:space="preserve">Provisioing </t>
  </si>
  <si>
    <t>PMS_WU_0090</t>
  </si>
  <si>
    <t>Oracle grid cluster build</t>
  </si>
  <si>
    <t>1. Server Build inputs and varification. 
2. Network inputs and varification.
3. Storage Inputs and varifications. 
4. Grid software installations and cluster build.</t>
  </si>
  <si>
    <t>Per cluster</t>
  </si>
  <si>
    <t>PMS_WU_0091</t>
  </si>
  <si>
    <t>Dataguard environment build for HA</t>
  </si>
  <si>
    <t>Dataguard environment build as per the primary environment</t>
  </si>
  <si>
    <t>Per environment</t>
  </si>
  <si>
    <t>PMS_WU_0092</t>
  </si>
  <si>
    <t>Exadata Environment build</t>
  </si>
  <si>
    <t>Storage capacity Planning
Business need 
Inputs and coordination with Vendor (Oracle)</t>
  </si>
  <si>
    <t>Per CDB</t>
  </si>
  <si>
    <t>PMS_WU_0093</t>
  </si>
  <si>
    <t>Teradata environment Build</t>
  </si>
  <si>
    <t>Storage capacity Planning
Business need 
Inputs and coordination with Vendor (Teradata)</t>
  </si>
  <si>
    <t>Per teradata instance</t>
  </si>
  <si>
    <t>PMS_WU_0097</t>
  </si>
  <si>
    <t>Database Migration</t>
  </si>
  <si>
    <t xml:space="preserve">L3 Coordination  activities: 
*Collecting all required details in GIFT.
</t>
  </si>
  <si>
    <t>ITS-CHMOD0000450</t>
  </si>
  <si>
    <t>PMS_WU_0098</t>
  </si>
  <si>
    <t>IIS Installation (Manual)</t>
  </si>
  <si>
    <t xml:space="preserve">Implementation Activities: 
Execution steps by DOTNET
1. IIS Installation and configuration 
2. IIS module  and .Net Framework installation.
</t>
  </si>
  <si>
    <t>IMS_WU_0265</t>
  </si>
  <si>
    <t>Windows</t>
  </si>
  <si>
    <t>SCCM</t>
  </si>
  <si>
    <t>Deployment</t>
  </si>
  <si>
    <t>Single Package Deployment</t>
  </si>
  <si>
    <t>Separate list of systems based on region, SCCM client status, machine category 
Create device collections in SCCM 
Deploy package from SCCM to workstations or servers (1 deployment per region) 
Check Compliance in SCCM after few 
Redeploy to failed machines from SCCM to workstations or servers (1 deployment per region) 
Send final deployment report built using SQL query to requestor - 90% compliance is considered completion</t>
  </si>
  <si>
    <t>SCCM - Package Deployment (servers only)</t>
  </si>
  <si>
    <t>https://sanofiservices.service-now.com/onesupport?id=sc_cat_item&amp;table=sc_cat_item&amp;sys_id=dc46595edb9dc70005ea766eaf9619f5</t>
  </si>
  <si>
    <t>Per CI</t>
  </si>
  <si>
    <t>IMS_WU_0266</t>
  </si>
  <si>
    <t>Single Patch or Update Group deployment</t>
  </si>
  <si>
    <t>ITS-CHMOD0001300</t>
  </si>
  <si>
    <t>DL</t>
  </si>
  <si>
    <t>IMS_WU_0269</t>
  </si>
  <si>
    <t>Firmware Upgrade Planning, Preparations and Coordination activities</t>
  </si>
  <si>
    <t xml:space="preserve">L3 Implementation Activities ::
- Collect Logs and Back-Up Enclosure Configuration, VCM Configuration before Performing actual Firmware Upgradation
- Resource validation (Server Profiles, vCEM, SAN, Network, H/W Chasis etc.) 
- Pilot Installation/Upgrade/Troubleshooting during VC, Blade and Enclosure Upgrade
- Performance checking and Verification of Blades/Enclosures after upgradation 
L3 Co-Ordination Activities ::
- Gather requirement from Service Owner and verify the same, highlight the challenges, Raise Change, Present the same in ACN/GIS CAB 
- Assessing the Applications and work with Application Owners/Teams for Downtime Approval </t>
  </si>
  <si>
    <t>IMS_WU_0276</t>
  </si>
  <si>
    <t>Agent Mgt</t>
  </si>
  <si>
    <t>SCCM Installation and Upgrade for In Scope servers</t>
  </si>
  <si>
    <t>L3 Implementation Activities::
- Installation validation &amp; verification of server after remediation</t>
  </si>
  <si>
    <t>PMS_WU_0101</t>
  </si>
  <si>
    <t xml:space="preserve">Implementation Activities: 
Execution steps by DOTNET
1. Site creation
2. Site binding
3. Content placement
4. IIS module installation. Not mandatory step.
5. New certificate generation. </t>
  </si>
  <si>
    <t>PMS_WU_0102</t>
  </si>
  <si>
    <t xml:space="preserve">L3 Implementation Activities: 
1. Installation procedure pre-requisite checks 
2. Application installation
3. Configuration changes
4. Post installation application verification
5. Testing of the application functionality </t>
  </si>
  <si>
    <t>Per application/per server</t>
  </si>
  <si>
    <t>PMS_WU_0103</t>
  </si>
  <si>
    <t>Migration of applications to higher environment with re-platforming or re-development</t>
  </si>
  <si>
    <t>L3 Implementation Activities: 
1. Installation procedure pre-requisite checks 
2. Application re-installation/migration 
3. Configuration changes
4. Post installation application verification 
5. Testing of the application functionality</t>
  </si>
  <si>
    <t>PMS_WU_0104</t>
  </si>
  <si>
    <t>Implementation Activities: 
Execution steps by DOTNET
1. IIS Installation and configuration -  - 1
2. IIS module  and .Net Framework installation.   -1</t>
  </si>
  <si>
    <t>PMS_WU_0105</t>
  </si>
  <si>
    <t>L3 Implementation Activities: 
1. Installation procedure pre-requisite checks
2. Application re-installation/migration
3. Configuration changes
4. Post installation application verification
5. Testing of the application functionality</t>
  </si>
  <si>
    <t>PMS_WU_0113</t>
  </si>
  <si>
    <t xml:space="preserve">EAI--Tibco </t>
  </si>
  <si>
    <t>Tibco</t>
  </si>
  <si>
    <t>MDW-TIBCO Platform Installation for BW6</t>
  </si>
  <si>
    <t xml:space="preserve">Technical Co-ordination Activities:
1. Requirement gathering
2. VM provisioning requests in Service now  to be created. 
3. FS creation using Service now  requests. 
4. CPU and RAM upgrade requests
5. Service account creation requests
6. DNS and Load balancer configuration requests. 
7. Database schema and database connect requests.
Implementation Activities:
EAI team execution steps. 
1. Installation of Tibco different products like TEA, BW6, EMS installation, JRE installation. 
2. BW agent configuration
3.Domain , app spacem, app nodes creation and configuration 
4. Adding all machines in domain
5. User access management.
6. Websever configuration </t>
  </si>
  <si>
    <t>Per Tibco Installation</t>
  </si>
  <si>
    <t>PMS_WU_0114</t>
  </si>
  <si>
    <t xml:space="preserve">Implementation of framework according to EAI service definition, design and specification  </t>
  </si>
  <si>
    <t xml:space="preserve">Implementation activity : 
EAI Team execution steps 
1. Design review (Architecture, framework, specifications etc.) -
2. Framework installations
3. Configuration changes
4. EMS changes
5. Post set-up validation </t>
  </si>
  <si>
    <t>TIBCO Administration Request</t>
  </si>
  <si>
    <t>https://sanofiservices.service-now.com/onesupport?id=sc_cat_item&amp;table=sc_cat_item&amp;sys_id=ae3a7e7c1bd0b410e4aebb739b4bcbd1</t>
  </si>
  <si>
    <t>Per Tibco Instance</t>
  </si>
  <si>
    <t>PMS_WU_2212</t>
  </si>
  <si>
    <t>Scheduling</t>
  </si>
  <si>
    <t>Control-M</t>
  </si>
  <si>
    <t>Job Creation for new application projects</t>
  </si>
  <si>
    <t>"L3 Co-ordination Activity - Measured per Stream   of effort:
1. Requirement gathering from the application / business team for the job scheduling. 
2. Helping requestor with the job configuration sheet.
3. Coordination with platform teams to install agents on the servers. 
4. Control-M Module installation and profile configuration.
5. Verifying if the requirements fit in according to the templates / designs available for the team or highlighting need of new design to scheduling service owner.
L3 Implementation activity - Measured per stream   of effort : 
1. Verification of module installation,  Agent installation, FTP service activation, FS creation etc.  
2. Creation of new jobs on the environment. 
3. Verification of the jobs execution. Coordination/meetings with the business / application team after the job scheduling.  Check implementation , Activation of job, Testing of the jobs on the environment by coordination with application team.</t>
  </si>
  <si>
    <t>Control-M Operations</t>
  </si>
  <si>
    <t>https://sanofiservices.service-now.com/onesupport?id=sc_cat_item_guide&amp;table=sc_cat_item&amp;sys_id=f4d1048c1b40805817d3fddacd4bcba7</t>
  </si>
  <si>
    <t>formula per job with // rate</t>
  </si>
  <si>
    <t>BY JOB</t>
  </si>
  <si>
    <t>1-20 jobs =&gt; 5 days
21-50 jobs =&gt; 10 days
51-100 jobs =&gt; 15 days
101-200 jobs =&gt; 20 days
201-300 jobs =&gt; 30 days
301-500 jobs =&gt; 35 days</t>
  </si>
  <si>
    <t>Price calculation: Unit Price + ((#Jobs-1) x Unit price x Synergy rate) = 25+((#Jobs-1)*25*60%)</t>
  </si>
  <si>
    <t>PMS_WU_0144</t>
  </si>
  <si>
    <t>ETL--Informatica</t>
  </si>
  <si>
    <t>Informatica</t>
  </si>
  <si>
    <t>Informatica - Project space creation for new application 9.1 / 9.6 for each environment</t>
  </si>
  <si>
    <t xml:space="preserve">Co-ordination Activity: 
Requirement gathering from application teams
Implementation activity : 
1. Unix user creation
2. Informatica project space creation.
2.a. End user creation for access to project spaces 
2.b. Database connection creation.
2.c. Creation of user access roles. 
2.d. Assigning permissions or privileges.
2.e. Folder structure creation. 
2.f. Adding PAM centrified serivce accounts to the servers 
(For SSH password less authentication ) </t>
  </si>
  <si>
    <t xml:space="preserve">per project space creation for environment. </t>
  </si>
  <si>
    <t>PMS_WU_0153</t>
  </si>
  <si>
    <t>Java</t>
  </si>
  <si>
    <t>Migration of applications to higher environment with re-platforming or re-development(Jboss,Apache,Tomcat,Weblogic,Websphere)</t>
  </si>
  <si>
    <t>PMS_WU_0154</t>
  </si>
  <si>
    <t>Implementation activity : 
1. Pre-Requisites Check
2. Installation of the software 
3. Configuration changes
4. Post installation validation/testing</t>
  </si>
  <si>
    <t>PMS_WU_0155</t>
  </si>
  <si>
    <t>Implementation activity : 
1. Pre-Requisites Check
2. Installation of the software 
3. Configuration of HA and clustering
4. Other Configuration changes
5. Post installation validation/testing</t>
  </si>
  <si>
    <t>PMS_WU_0156</t>
  </si>
  <si>
    <t>Jboss - New Deployment</t>
  </si>
  <si>
    <t>Co-ordination Activity:
Requirement gathering from application teams
 Implementation activity : 
1. Deploy application
2. IQ document Creation</t>
  </si>
  <si>
    <t>PMS_WU_0157</t>
  </si>
  <si>
    <t>JBOSS - Configuration of Jboss (Configuring New Environment)</t>
  </si>
  <si>
    <t xml:space="preserve">Co-ordination Activity:
Requirement gathering from application teams - 
Implementation activity : 
1. General Pre-requisites
2. Creating Instances and modifying the conf files as per the project requirement
3. Application Deployment 
5. Jon Configuration
4. Certificate Request and installation
5. IQ documents Creation
6. Checking JVM directories in backup schedule - </t>
  </si>
  <si>
    <t>per instance per environment</t>
  </si>
  <si>
    <t>PMS_WU_0158</t>
  </si>
  <si>
    <t>PMS_WU_0159</t>
  </si>
  <si>
    <t>Co-ordination Activity:
Requirement gathering from application teams - 
 Implementation activity : 
1. Deploy application 
2. IQ document Creation</t>
  </si>
  <si>
    <t>PMS_WU_0160</t>
  </si>
  <si>
    <t xml:space="preserve">Co-ordination Activity:
Requirement gathering from application teams - 
Implementation activity : 
1. General Pre-requisites
2. Creating Instances and modifying the conf files as per the project requirement 
3. Application Deployment
5. Jon Configuration 
4. Certificate Request and installation
5. IQ documents Creation
6. Checking JVM directories in backup schedule - </t>
  </si>
  <si>
    <t>PMS_WU_0161</t>
  </si>
  <si>
    <t xml:space="preserve">Implementation activity : 
1. Pre-Requisites Check 
2. Installation of the software 
3. Configuration changes
4. Post installation validation/testing </t>
  </si>
  <si>
    <t>PMS_WU_0162</t>
  </si>
  <si>
    <t xml:space="preserve">Implementation activity : 
1. Pre-Requisites Check
2. Installation of the software 
3. Configuration of HA and clustering
4. Other Configuration changes 
5. Post installation validation/testing </t>
  </si>
  <si>
    <t>PMS_WU_0163</t>
  </si>
  <si>
    <t>Java - Weblogic</t>
  </si>
  <si>
    <t>Weblogic</t>
  </si>
  <si>
    <t>Web Logic - New Deployment</t>
  </si>
  <si>
    <t>Co-ordination Activity:
 Requirement gathering from application teams - 
Implementation activity : 
1. Web server and Middleware deployment 
2. IQ document Creation</t>
  </si>
  <si>
    <t>PMS_WU_0164</t>
  </si>
  <si>
    <t>Configuration of Weblogic (New environment Creation)</t>
  </si>
  <si>
    <t xml:space="preserve">Co-ordination Activity:
Requirement gathering from application teams - 
Implementation activity : 
1. Pre-Requisites Check
2. Installation (Silent installation weblogic, Installation of SOA suite, Patch Upgrade etc )- 
3. Application Deployment  
4. Certificate generation and update and configuration of keystore - 
5. Post Installation Tasks </t>
  </si>
  <si>
    <t>PMS_WU_0165</t>
  </si>
  <si>
    <t>PMS_WU_0166</t>
  </si>
  <si>
    <t>Implementation activity : 
1. Pre-Requisites Check
2. Installation of the software
3. Configuration of HA and clustering 
4. Other Configuration changes 
5. Post installation validation/testing</t>
  </si>
  <si>
    <t>PMS_WU_0167</t>
  </si>
  <si>
    <t>Java-Websphere</t>
  </si>
  <si>
    <t>Websphere</t>
  </si>
  <si>
    <t>Implementation activity : 
1. Pre-Requisites Check 
2. Installation of the software 
3. Configuration changes
4. Post installation validation/testing</t>
  </si>
  <si>
    <t>PMS_WU_0168</t>
  </si>
  <si>
    <t>Implementation activity : 
1. Pre-Requisites Check 
2. Installation of the software
3. Configuration of HA and clustering
4. Other Configuration changes 
5. Post installation validation/testing</t>
  </si>
  <si>
    <t>PMS_WU_0172</t>
  </si>
  <si>
    <t xml:space="preserve">MFT --Gateway </t>
  </si>
  <si>
    <t>Axway</t>
  </si>
  <si>
    <t xml:space="preserve">Creation of external SFTP partner and VFD creation for new applications in projects. </t>
  </si>
  <si>
    <t>Technical Co-ordination Activity:
Coordination with application teams for the password for authentication
Implementation activity : 
Steps to be performed by the L3 team. 
1. Creation of the CGATE
2. Creation of VFD or RFD.
3. Autentication based on password or password less</t>
  </si>
  <si>
    <t>Per project environment</t>
  </si>
  <si>
    <t>PMS_WU_0173</t>
  </si>
  <si>
    <t>Creation of routing rules in Gateway for new project - Inbound flow</t>
  </si>
  <si>
    <t>Implementation activity : 
1. Creation of decision rules. 
2. Creation of transfer sites 
3. Creation of models  
4. Environment setup on transfer site</t>
  </si>
  <si>
    <t>PMS_WU_0174</t>
  </si>
  <si>
    <t>Outbound flow from CFT server to external SFTP partner</t>
  </si>
  <si>
    <t xml:space="preserve">Implementation activity : 
Steps to be performed by 
1. Creation of the transfer sites. 
3. creation data flow. 
4. Validation of parameters 
5. ControlM job creation / coordination with batch team . </t>
  </si>
  <si>
    <t>Per Request</t>
  </si>
  <si>
    <t>PMS_WU_0175</t>
  </si>
  <si>
    <t xml:space="preserve">Outbound flow from CFT Server to Gateway for new project </t>
  </si>
  <si>
    <t xml:space="preserve">Implementation activity : 
1. creation data flow.  
2. Validation of parameters
3.  ControlM job creation / coordination with batch team . </t>
  </si>
  <si>
    <t>Per request</t>
  </si>
  <si>
    <t>PMS_WU_0176</t>
  </si>
  <si>
    <t>MFT--CFT</t>
  </si>
  <si>
    <t>CFT</t>
  </si>
  <si>
    <t>Implementation of CFT environment for new applications as part of projects</t>
  </si>
  <si>
    <t xml:space="preserve">Co-ordination Activity:
1. Filesystem creation , application user id creation requests with Unix
2. monitoring enablement requests 
3. working with axway for license.
4. ControlM job creation for parameter validated by MFT team 
 Implementation activity : 
1. CFT agent installation on windows or unix machines.
2. Configuration of the .config files. 
3. CFT data flow creation
4. Parameter validation for contorlM job creation. 
5. Verification of sucessfull transfers. 
6. Creation of post execution script if required. </t>
  </si>
  <si>
    <t>PMS_WU_0177</t>
  </si>
  <si>
    <t>MFT--E2B GI/ B2BI</t>
  </si>
  <si>
    <t>E2B GI/ B2BI</t>
  </si>
  <si>
    <t>Creation of Inbound Flows</t>
  </si>
  <si>
    <t xml:space="preserve">L3 Implementation Activity 
1. Creation of the Communities 
2. Creation of Partner
3. Creation on pick-up &amp; delivery 
4. Configuration set-up
5. Post set-up validation </t>
  </si>
  <si>
    <t>Per set-up</t>
  </si>
  <si>
    <t>PMS_WU_0178</t>
  </si>
  <si>
    <t>Creation of Outbound Flows</t>
  </si>
  <si>
    <t>L3 Implementation Activity 
1. Creation of the Communities 
2. Creation of Partner 
3. Creation on pick-up &amp; delivery
4. Configuration set-up 
5. Post set-up validation</t>
  </si>
  <si>
    <t>PMS_WU_0183</t>
  </si>
  <si>
    <t>Network</t>
  </si>
  <si>
    <t>Firewall/Switching/Routing</t>
  </si>
  <si>
    <t xml:space="preserve">TID Implementation (LAN/WAN/Wifi) </t>
  </si>
  <si>
    <t xml:space="preserve">L3 Implementation 
• Implementing the changes following the TID </t>
  </si>
  <si>
    <t>​ITS-CHMOD0004308</t>
  </si>
  <si>
    <t>Per Device</t>
  </si>
  <si>
    <t>PMS_WU_0186</t>
  </si>
  <si>
    <t xml:space="preserve">Installation of new switch stack </t>
  </si>
  <si>
    <t>L3 Implementation Activities  - 
Service decomm
- Carry out the log analysis for the specified duration to ensure no live traffic on the device
- removing related acls / configurations from specified devices
- update documentation
Device decomm
- remove device from ACS 
- remove configuration 
- through OOB Wipe out configuration
- update inventory and all the infrastructure tools
- update documentation</t>
  </si>
  <si>
    <t>PMS_WU_0187</t>
  </si>
  <si>
    <t>Replacing switch stack</t>
  </si>
  <si>
    <t>PMS_WU_0192</t>
  </si>
  <si>
    <t xml:space="preserve">Develop and publish required DR processes and procedures (Per service/platform) </t>
  </si>
  <si>
    <t>PMS_WU_0193</t>
  </si>
  <si>
    <t>Major Upgrade</t>
  </si>
  <si>
    <t>Major Version Upgrade for Centralized management tool of Firewall/Proxy</t>
  </si>
  <si>
    <t>ITS-CHMOD0004309</t>
  </si>
  <si>
    <t>Per Tool</t>
  </si>
  <si>
    <t>PMS_WU_0194</t>
  </si>
  <si>
    <t>Major Version Upgrade for all in scope security devices i.e. Firewall,Proxy,IPS,Tacacs,AlgoSec,RSA</t>
  </si>
  <si>
    <t>L3 Implementation Activities:  6 hour
- Copy specified IOS to security device
-Secure latest configuration backup 
- Verify IOS post copying 
- Set bootloader &amp; progress for upgrade 
- reload the device
- IOS verification post power cycle</t>
  </si>
  <si>
    <t>PMS_WU_0195</t>
  </si>
  <si>
    <t>Integration of all in scope Security devices to Infrastructure/tools  i.e monitoring tools/Backup tools,SOC,AlogoSec,management consoles etc.</t>
  </si>
  <si>
    <t>Requirements gathering
- Make the network connectivity through end to end
- Do the required configuration and add devices to all infra tools</t>
  </si>
  <si>
    <t>PMS_WU_0196</t>
  </si>
  <si>
    <t xml:space="preserve">New Partner connectivity establishment </t>
  </si>
  <si>
    <t>L3 Implementation Activities: 
-Validate requirements with SANOFI TDA's(Technical Design Authority)
- Planning and create low level design with allocation of fresh subnet
- Implementation &amp; configuration of device with in collaboration with network &amp; 3rd party team
- Fine tuning of configuration 
- GeodIS requirement qualified doc</t>
  </si>
  <si>
    <t>PMS_WU_0198</t>
  </si>
  <si>
    <t>NGINX</t>
  </si>
  <si>
    <t>NGINX - Application Deployment</t>
  </si>
  <si>
    <t xml:space="preserve">Co-ordination Activity:
Requirement gathering from application teams - 
Implementation activity : 
1. General Pre-requisites
2. Deploying application in container Instances and modifying the conf files as per the project requirement
3. IQ documents Creation </t>
  </si>
  <si>
    <t>PMS_WU_0199</t>
  </si>
  <si>
    <t>NGINX- Container creation, deployment and configuration of application for new project</t>
  </si>
  <si>
    <t>Co-ordination Activity:
Requirement gathering from application teams
Implementation activity : 
1. General Pre-requisites and pre-configuration - 
2. Creation of container, Deploying application in newly build container Instances and modifying the conf files as per the project requirement 
3. Certificate Request and installation 
4. IQ documents Creation</t>
  </si>
  <si>
    <t>PMS_WU_0200</t>
  </si>
  <si>
    <t>Create projects/namespaces, users and access : demand management</t>
  </si>
  <si>
    <t>SCALe CaaS Kubernetes Not Applicablemespace creation</t>
  </si>
  <si>
    <t>https://sanofiservices.service-now.com/onesupport?id=sc_cat_item&amp;table=sc_cat_item&amp;sys_id=7a544989db467f48a9c8838405961972</t>
  </si>
  <si>
    <t>SCALe CaaS Not Applicablemespace update/modification</t>
  </si>
  <si>
    <t>PMS_WU_0201</t>
  </si>
  <si>
    <t>Create projects/namespaces, users and access : execution (incl. admin creation)</t>
  </si>
  <si>
    <t>PMS_WU_0207</t>
  </si>
  <si>
    <t>OSE Upgrade</t>
  </si>
  <si>
    <t>Per Cluster</t>
  </si>
  <si>
    <t>PMS_WU_0210</t>
  </si>
  <si>
    <t xml:space="preserve">SAP – DB upgrade </t>
  </si>
  <si>
    <t xml:space="preserve">L3 Co-ordination Activities:
downloading the executables 
Review Notes 
L3 Implementaion Activities: : 
Check Pre-requisites SPACE/ACCESS/Binaries etc
Oracle upgrade
Post Upgrade Steps 
Update Stats </t>
  </si>
  <si>
    <t>Database</t>
  </si>
  <si>
    <t>PMS_WU_0211</t>
  </si>
  <si>
    <t xml:space="preserve">SAP OS DB Migration </t>
  </si>
  <si>
    <t>L3 Preparation and Coordination Activities:
Downloading the executables - 1h
Reviewing Notes - 0.5h
L3 Implementation:
 1. Preliminary Tasks --- 3 H
2. Database Task preparations --- 3 H
     Table Splitting Preparation.
     Export SAP source system
3. SAP task preparations ---2 H
    SPAM update
    Modifiable Transport requests
    Check for invalid temp tables
    Check the updates
    Incremental conversion
    note status
    Update SAP kernel to patch level and start SAP 
    Execute BTCTRNS1 report
    Lock users
4. Tasks on File system  --- 0.5 H
    Instance profiles backup
5. Installation Activities -- 5 H
    System copy
6. Start Import source data -- 30 H
    Initialization
    Extraction  
    Configuration
    Checks
7. Post upgrade actions ---  15 H</t>
  </si>
  <si>
    <t>per Migration</t>
  </si>
  <si>
    <t>PMS_WU_0212</t>
  </si>
  <si>
    <t>SAP Upgrade</t>
  </si>
  <si>
    <t xml:space="preserve">New Addition:
L3 Preparation and Coordination Activities:
Downloading the executables
Reviewing Notes 
L3 Implementation:
 1. Preliminary Tasks 
2. Oracle Task preparations 
3. SAP task preparations 
    SPAM update
    Modifiable Transport requests
    Check for invalid temp tables
    Check the updates
    Incremental conversion
    note status
    Update SAP kernel to patch level and start SAP 
    Execute BTCTRNS1 report
    Lock users
4. Tasks on File system 
    Instance profiles backup
    Env file of orasid and sidadm
5. Installation Activities 
6. Start Upgrade 
    Initialization
    Extraction  
    Configuration
    Checks
    Preprocessing
    Execution 
    Post processing
7. Post upgrade actions 
                                                                  </t>
  </si>
  <si>
    <t>Per upgrade</t>
  </si>
  <si>
    <t>PMS_WU_0213</t>
  </si>
  <si>
    <t>SAP Application Build</t>
  </si>
  <si>
    <t>1. Architecture planning and Preparation details:
2. Validating the software and database compaitability with the OS  
2. Server Build inputs and verification
3.  Gather License details 
4.  Storage Input and varification 
5.  Build and Integration :</t>
  </si>
  <si>
    <t>Per instance</t>
  </si>
  <si>
    <t>PMS_WU_0214</t>
  </si>
  <si>
    <t>Patch Mgt</t>
  </si>
  <si>
    <t>SAP - Support pack upgrade</t>
  </si>
  <si>
    <t xml:space="preserve">L3 Co-ordination Activities:
L3 Implementation Activities: : 
Upgrade SPAM  
Upgrade Support packages 
Run SGEN </t>
  </si>
  <si>
    <t>per SAP environment</t>
  </si>
  <si>
    <t>PMS_WU_0233</t>
  </si>
  <si>
    <t xml:space="preserve">Disaster Recovery Setup </t>
  </si>
  <si>
    <t xml:space="preserve">L3 coordination:
Requirement gathering and coordination with requestor and platform team 
L3 Implementation Activities:
Setup DR </t>
  </si>
  <si>
    <t>PMS_WU_0235</t>
  </si>
  <si>
    <t>New SAN Switch deployment - Core</t>
  </si>
  <si>
    <t>L3 coordination:
Coordination with ITS 
L3 Implementation Activities
Disable/Enable port-channel
Base installation for core switch 
Configuration validation
CMDB update
ISL Configuration</t>
  </si>
  <si>
    <t>Per core Switch</t>
  </si>
  <si>
    <t>PMS_WU_0236</t>
  </si>
  <si>
    <t>New SAN Switch deployment - Edge</t>
  </si>
  <si>
    <t xml:space="preserve">L3 coordination:
Coordination with ITS 
L3 Implementation Activities:
Disable/Enable port-channel 
Base installation for core switch 
Configuration validation 
CMDB update </t>
  </si>
  <si>
    <t>Per edge Switch</t>
  </si>
  <si>
    <t>PMS_WU_0238</t>
  </si>
  <si>
    <t>SAN Switch Replace Preparation activities</t>
  </si>
  <si>
    <t xml:space="preserve">Requirement gathering for switch installation
Collect existing port and respective device detail
ISL port identification and configuration
Communication with Network, Proximity team
Switch backup
Connectivity testing </t>
  </si>
  <si>
    <t>PMS_WU_0241</t>
  </si>
  <si>
    <t>Storage expansion - Scale up/Scale Out</t>
  </si>
  <si>
    <t xml:space="preserve">L3 coordination:
Coordination with ITS, Vendor, Proximity during deployment
L3 Implementation Activities:
Post validation after expansion </t>
  </si>
  <si>
    <t>per Unit</t>
  </si>
  <si>
    <t>PMS_WU_0243</t>
  </si>
  <si>
    <t>Storage level Migration - Across Array</t>
  </si>
  <si>
    <t xml:space="preserve">1.Identify the list of servers &amp; storages FS/Volume for each servers which have to be migrated
2.Identify the network infrastructure ,Bandwith utilization,port configuration and throughput on each storage for the data migration requirement 
3.set up the migration software/tool on Source &amp; Target Storage to migrate the data 
4.Migrate the data from old filesystem/volume to new filesystem and configure the New filesystem for new list of servers 
5.Plan for cut over date and sync the data on target filesystem/volume on cutover date </t>
  </si>
  <si>
    <t>per File system/Volume</t>
  </si>
  <si>
    <t>PMS_WU_0245</t>
  </si>
  <si>
    <t>Storage new infrastructure software deployment\upgrade (DCNM\OCI\Insight IQ)</t>
  </si>
  <si>
    <t>Download &amp; Validate correct OVA from vendor support page:
Discussion with Vmware Team following the OEM best practices:
Deploying the code &amp; initializing the appliance:
Initial setup &amp; discover storage/switch CIs: 
CMDB update:</t>
  </si>
  <si>
    <t>per software deployment</t>
  </si>
  <si>
    <t>PMS_WU_0248</t>
  </si>
  <si>
    <t>Data Migration to new hardware devices</t>
  </si>
  <si>
    <t xml:space="preserve">L3 Coordination Activities::
Prep work on data migration by collecting VG, FS, Lun details
Capacity checking
Performance checking after migration  
Post migration - coordinate with stakeholders to performa HA test
L3 Implementation Activities::
Validation of Migration Checklist
</t>
  </si>
  <si>
    <t>i) Data migration to new hadware depend on filesystem type, size, bandwidth and number data volumes(VG's)
it may vary case to case. We are good with timelines for per CI.</t>
  </si>
  <si>
    <t>PMS_WU_0249</t>
  </si>
  <si>
    <t>Enclosure Installation for hardware upgrade</t>
  </si>
  <si>
    <t>L3 Implementation  Activities:
Enclosure Configuration-IP Address assignment, VCM define to domain group and download configuration from domain group)
Firmware Update during enclosure installation (OA and VCM )
Discover Chassis &amp; blade in HP Insight Control and HP IRS 
L3 Coordination :
Troubleshooting with first BLADE installation  (network, uplinks).
Approve IQ Hardware document</t>
  </si>
  <si>
    <t>Per Chassis</t>
  </si>
  <si>
    <t>i) once the proximity team shares console(IP and credentials) based on attached GIFT from VC profile can be configured.
Ii) Modified Efforts as multiple tasks involvent including firmware updgrades.</t>
  </si>
  <si>
    <t>PMS_WU_0252</t>
  </si>
  <si>
    <t>Physical Server Migration (P2V)</t>
  </si>
  <si>
    <t xml:space="preserve">L3 Coordination:
Assessing the applications 
Resource validation( FS, IP, Firewall,NFS etc) 
VM Client compatibility  
Installation/ upgrade 
Identify correct server to host the VM 
Capacity checking 
Performance checking after migration 
L3 Implementation Activities::
Verification of the Server 
</t>
  </si>
  <si>
    <t>PMS_WU_0253</t>
  </si>
  <si>
    <t>Linux</t>
  </si>
  <si>
    <t>Virtual Server Migration to new hardware (V2V)</t>
  </si>
  <si>
    <t xml:space="preserve">L3 Coordination Activities:
Assessing the applications
Resource validation( FS, IP, Firewall,NFS etc)
VM Client compatibility
Installation/ upgrade 
Identify correct server to host the VM 
Capacity checking 
Performance checking after migration 
L3 Implementation Activities::
Verification of the Server
</t>
  </si>
  <si>
    <t>ITS-CHMOD0004031</t>
  </si>
  <si>
    <t>per CI</t>
  </si>
  <si>
    <t>If more than 5 Servers migration it comes under PMS
Given time lines and scope of work appplicable.</t>
  </si>
  <si>
    <t>PMS_WU_0254</t>
  </si>
  <si>
    <t>HP-UX; Solaris</t>
  </si>
  <si>
    <t>Virtualisation Host Build</t>
  </si>
  <si>
    <t xml:space="preserve">L3 Implementation Activities:
L3 Review &amp; Verification post installation  
IQ – verification &amp; approval (verify FS creation/ownership, RAM, CPU, kernel, FS block size)
L3 Co-ordination Activities:
Gather requirement in GIFT form and verify GIFT and ensure completeness.
</t>
  </si>
  <si>
    <t>per VM</t>
  </si>
  <si>
    <t>i) Gift from has to be attached with all required details.
Ii)If more than 5 Servers build it comes under PMS
iii)Given time lines and scope of work appplicable.</t>
  </si>
  <si>
    <t>PMS_WU_0259</t>
  </si>
  <si>
    <t>Virtual Directory Services</t>
  </si>
  <si>
    <t>aas</t>
  </si>
  <si>
    <t xml:space="preserve">L3 Implementation Activities::
Planning 
Implementation
Validation
</t>
  </si>
  <si>
    <t>PMS_WU_0267</t>
  </si>
  <si>
    <t>File Share Migration - File share Cut Over (Data Migration)</t>
  </si>
  <si>
    <t>L3 Coordination Activities:
L3 Implementation Activities:
- Requirement consolidation of old shares
- Old share full backup
- Data Migration script creation
- Monitoring, comparison and remediation
- Share cut over</t>
  </si>
  <si>
    <t xml:space="preserve">Per file share </t>
  </si>
  <si>
    <t>PMS_WU_0268</t>
  </si>
  <si>
    <t>File Share Migration - Data migration using script (Data Migration)</t>
  </si>
  <si>
    <t xml:space="preserve">L3 Coordination Activities::
L3 Implementation Activities::
- Requirement consolidation of old shares
- Data Migration script creation
- Monitoring, comparison and remediation
</t>
  </si>
  <si>
    <t xml:space="preserve">Per Execution </t>
  </si>
  <si>
    <t>PMS_WU_0270</t>
  </si>
  <si>
    <t>Physical Server to Virtual Server Migration =&gt; P2V</t>
  </si>
  <si>
    <t>L3 Coordination:
- Assessing the applications compatibility 
- Resource validation &amp; Capacity checking (ESXi, Network, Firewall, NFS etc)
- Identify correct ESXi server to host the VM 
L3 Implementation Activities ::
- Physical to Virtual Migration (P2V) - BAU
- Performance checking &amp; Verification of server after migration</t>
  </si>
  <si>
    <t>PMS_WU_0271</t>
  </si>
  <si>
    <t>Virtual Server Migration to New Physical Hardware (i.e., to New ESXi Hosts) =&gt; V2V</t>
  </si>
  <si>
    <t>L3 Coordination Activities ::
- Assessing the Applications
- Resource validation (ESXi, Network, Firewall, NFS etc.)
L3 Implementation Activities::
- VM MIgration
- Performance checking &amp; Verification of server after migration</t>
  </si>
  <si>
    <t>Virtual Server Migration - V2V</t>
  </si>
  <si>
    <t>https://sanofiservices.service-now.com/onesupport?id=sc_cat_item&amp;table=sc_cat_item&amp;sys_id=51efa2b51bb8e4109c1cbb739b4bcb11</t>
  </si>
  <si>
    <t>ITS-CHMOD0003704</t>
  </si>
  <si>
    <t>IMS_WU_2015</t>
  </si>
  <si>
    <t>RMAN catalog creation and addition of links</t>
  </si>
  <si>
    <t>N/A</t>
  </si>
  <si>
    <t>IMS_WU_2017</t>
  </si>
  <si>
    <t>RMAN backup setting</t>
  </si>
  <si>
    <t>ITS-CHMOD0000424</t>
  </si>
  <si>
    <t>PMS_WU_0274</t>
  </si>
  <si>
    <t>Windows; SQL Server</t>
  </si>
  <si>
    <t>Build Platform for MS-Cluster</t>
  </si>
  <si>
    <t>L3 Implementation Activities::
- L3 Review &amp; Verification post installation 
- IQ – verification &amp; approval 
L3 Co-ordination Activities ::
- Gather requirement in GIFT form and verify GIFT and ensure completeness</t>
  </si>
  <si>
    <t>PMS_WU_0275</t>
  </si>
  <si>
    <t>Windows Failover Clustering
 for SQL Always on</t>
  </si>
  <si>
    <t>L3 Coordination Activities:
L3 Implementation Activities:
IP reservation and assignments
Windows Failover Clustering installation and configuration</t>
  </si>
  <si>
    <t>Per cluster node</t>
  </si>
  <si>
    <t>PMS_WU_0278</t>
  </si>
  <si>
    <t>WINDOWS/Citrix</t>
  </si>
  <si>
    <t>Windows; Citrix</t>
  </si>
  <si>
    <t>Build Platform for Physical Blade</t>
  </si>
  <si>
    <t>L3 Coordination Activities:
L3 Implementation Activities:
- Host name and IP reservation and assignment
-  L3 related task in CRQ, IQ approval</t>
  </si>
  <si>
    <t>Per server</t>
  </si>
  <si>
    <t>PMS_WU_2016</t>
  </si>
  <si>
    <t>Script Execution / Requested by vendor for application deployment</t>
  </si>
  <si>
    <t>Copy the scripts on server - 15 mins
Connect to DB and execute the scripts - 30 mins
Validation - 30 mins</t>
  </si>
  <si>
    <t>PMS_WU_2020</t>
  </si>
  <si>
    <t>Backup / Restore Setup</t>
  </si>
  <si>
    <t>Backup / restore IQTC</t>
  </si>
  <si>
    <t>Take source backup/ If backups available, check they are accesisble on restore VM-2 hrs
Create environment files/ parameter file/Startup DB in NOMOUNT -1 hrs
Restore Backups - 4 hrs 
Validate the DB -1 hrs</t>
  </si>
  <si>
    <t>Per Database</t>
  </si>
  <si>
    <t>V2.1</t>
  </si>
  <si>
    <t>PMS_WU_2022</t>
  </si>
  <si>
    <t>Need to check server access, after check Scripts as per client requirments and execute script on specific Object</t>
  </si>
  <si>
    <t>PMS_WU_2025</t>
  </si>
  <si>
    <t>Backup and restore test setup</t>
  </si>
  <si>
    <t>Need to collect source and target servers, check access, Need to clarify to move databases. Drive size, space and time duration to move the database on Target,</t>
  </si>
  <si>
    <t>PMS_WU_2030</t>
  </si>
  <si>
    <t>IA Sites</t>
  </si>
  <si>
    <t>VTOM</t>
  </si>
  <si>
    <t>VTOM planning deployment</t>
  </si>
  <si>
    <t>"1: Check if application server and DB server are accessible and VTOM services are up and running.
2: Check if respective ports are enabled with respect VTOM server and test server.
3: Take export of both environments(plannings) of old servers using ""vtexport""
4: STOP respective plannings on VTOM server. 
5: Update the plannings for new servers and import on VTOM test environment.
6: Update the new servers with necessary files before importing the plannings.
7: once above steps are done start the vtom engines."</t>
  </si>
  <si>
    <t>Per Job</t>
  </si>
  <si>
    <t>1 to 5 jobs: 3 days_x000B_6 to 10 jobs: 5 days_x000B_11 to 20 jobs: 7 days_x000B_21 to 100 jobs: 15 days_x000B_101 to 200 jobs: 20 days_x000B_201 jobs and more : 30 days</t>
  </si>
  <si>
    <t>PMS_WU_2032</t>
  </si>
  <si>
    <t>Cygwin</t>
  </si>
  <si>
    <t>Installation Cygwin (Uniquement sur Windows)</t>
  </si>
  <si>
    <t xml:space="preserve">Implementation Activities 
APP Deployment </t>
  </si>
  <si>
    <t>PMS_WU_2034</t>
  </si>
  <si>
    <t>ksh scripts</t>
  </si>
  <si>
    <t>Deployment Operating package (scripts)</t>
  </si>
  <si>
    <t>1.We need to login Application Server 
2.download the package and copy to server’s E/admin/exploit/localcopy.
3.Copy Deploy.ksh Script from below location : D:\admin from FLOSBOXAIP02 
4.Downloaded package and deploy.ksh script file kept in one location. 
5.Before updating the new package, we need to check what is the latest package version.
6.We checked the current package version is old. Now we need to go to that path where we have downloaded the package and deploy.ksh script file and run the command ./deploy.ksh --tarball=package name –download.
7.After the update package we need to verify the current version
8.After the package update, We need to monitor the job SERW.FileArcApp in VTOM all the details available in the CTASK.</t>
  </si>
  <si>
    <t>IMS_WU_2018</t>
  </si>
  <si>
    <t>Installation Client</t>
  </si>
  <si>
    <t>Agent Installation 
Download required Binaries on the target server where need to install the Agent.
Unzip binaries.
Install binaries.
Set the oracle home path.
Do a connectivity test from our end.
And clear the unwanted binaries.</t>
  </si>
  <si>
    <t>ITS-CHMOD0000426</t>
  </si>
  <si>
    <t>PMS_WU_2042</t>
  </si>
  <si>
    <t>Flow test for each partner</t>
  </si>
  <si>
    <t xml:space="preserve">1. Based on requiremets , Create of CFT Parameters
2. Share CFT Parameters with Batch team
3. Batch team will share the results </t>
  </si>
  <si>
    <t>IMS_WU_2020</t>
  </si>
  <si>
    <t>Backup / Restore Test</t>
  </si>
  <si>
    <t>Backup and restore
Check whether both source and target database are getting backup regularly .
Check required backup completed successfully
Take required backup on target database before restore start.
Restore database.
Make sure required backup is restored and get conformation from application team.
If required rollback target database with its own backup .</t>
  </si>
  <si>
    <t>IMS_WU_2023</t>
  </si>
  <si>
    <t>Implementation of a maintenance plan</t>
  </si>
  <si>
    <t xml:space="preserve">Download maintenance scripts
Execute scripts
Verify jobs created
Execute jobs and confirm on completion
</t>
  </si>
  <si>
    <t>IMS_WU_2025</t>
  </si>
  <si>
    <t>Backup and restore test</t>
  </si>
  <si>
    <t>Verify DB version of Source Server
Verify DB size
Verify DB version of Target Server
Target Version should be greater than or equal to Source Server
Verify free space availability over Target Server
Verify Backup medium - If it's Local backup, then proceed with manual backup &amp; restore. Else if it's through Commvault, collaborate with Backup team.</t>
  </si>
  <si>
    <t>IMS_WU_2026</t>
  </si>
  <si>
    <t>configure CFT partners remote</t>
  </si>
  <si>
    <t>IMS_WU_2028</t>
  </si>
  <si>
    <t>Add local parner in the configuration of CFT (ie &gt; RAPPL: HOSTNAME)</t>
  </si>
  <si>
    <t>IMS_WU_2031</t>
  </si>
  <si>
    <t>Installation CFT</t>
  </si>
  <si>
    <t>IMS_WU_2035</t>
  </si>
  <si>
    <t>Scripts</t>
  </si>
  <si>
    <t>IMS_WU_2036</t>
  </si>
  <si>
    <t>VTOM Client installation</t>
  </si>
  <si>
    <t>IMS_WU_2090</t>
  </si>
  <si>
    <t>Declare server in Up2Date and ensure patching is effective</t>
  </si>
  <si>
    <t>PMS_WU_8000</t>
  </si>
  <si>
    <t>Azure; PostgreSQL; MS SQL; MySQL</t>
  </si>
  <si>
    <t>ITS-CHMOD0005367</t>
  </si>
  <si>
    <t>IMS_WU_2091</t>
  </si>
  <si>
    <t>Create volume on disk array</t>
  </si>
  <si>
    <t xml:space="preserve">L3 coordination:
Coordination with ITS, Vendor
L3 Implementation Activities:
Create aggregate
Create volumes </t>
  </si>
  <si>
    <t>IMS_WU_2124</t>
  </si>
  <si>
    <t>Linux; Data Protector</t>
  </si>
  <si>
    <t>Using Data Protector Disaster Recovery Module Integration on Linux</t>
  </si>
  <si>
    <t>IMS_WU_2174</t>
  </si>
  <si>
    <t>Linux; RH Satellite</t>
  </si>
  <si>
    <t>Installation of Satellite v6 Agent on Linux servers</t>
  </si>
  <si>
    <t>IMS_WU_2178</t>
  </si>
  <si>
    <t>Configuration CFT gateway server - CFT and transFIC</t>
  </si>
  <si>
    <t>IMS_WU_2207</t>
  </si>
  <si>
    <t>Zoning creation for each device to connect to the SAN</t>
  </si>
  <si>
    <t>L3 coordination:
Coordination with Proximity and Vendor
Update cabling matrix
create Soft zoning</t>
  </si>
  <si>
    <t>IMS_WU_7001</t>
  </si>
  <si>
    <t>Virtual Server CPU / RAM modification</t>
  </si>
  <si>
    <t>https://sanofiservices.service-now.com/onesupport?id=sc_cat_item&amp;table=sc_cat_item&amp;sys_id=f72e27f84f708f00cb48c0428110c70e</t>
  </si>
  <si>
    <t>ITS-CHMOD0000403</t>
  </si>
  <si>
    <t>IMS_WU_7002</t>
  </si>
  <si>
    <t>EC2; AWS</t>
  </si>
  <si>
    <t>IMS_WU_7003</t>
  </si>
  <si>
    <t>Windows; GCP</t>
  </si>
  <si>
    <t>IMS_WU_7004</t>
  </si>
  <si>
    <t>ITS-CHMOD0000388</t>
  </si>
  <si>
    <t>IMS_WU_7005</t>
  </si>
  <si>
    <t>Amazon Linux; AWS</t>
  </si>
  <si>
    <t>IMS_WU_7006</t>
  </si>
  <si>
    <t>Linux; GCP</t>
  </si>
  <si>
    <t>IMS_WU_7007</t>
  </si>
  <si>
    <t>Virtual Server Shutdown</t>
  </si>
  <si>
    <t>Decommission a Virtual Server (Virtual Server Operations)</t>
  </si>
  <si>
    <t>https://sanofiservices.service-now.com/onesupport?id=sc_cat_item_guide&amp;table=sc_cat_item&amp;sys_id=f7d5d381dbc9430405ea766eaf9619f7</t>
  </si>
  <si>
    <t>ITS-CHMOD0000400</t>
  </si>
  <si>
    <t>IMS_WU_7008</t>
  </si>
  <si>
    <t>IMS_WU_7009</t>
  </si>
  <si>
    <t>IMS_WU_7010</t>
  </si>
  <si>
    <t>ITS-CHMOD0000385</t>
  </si>
  <si>
    <t>IMS_WU_7011</t>
  </si>
  <si>
    <t>IMS_WU_7012</t>
  </si>
  <si>
    <t>IMS_WU_7013</t>
  </si>
  <si>
    <t>Virtual Server Switch On</t>
  </si>
  <si>
    <t>ITS-CHMOD0000401</t>
  </si>
  <si>
    <t>IMS_WU_7014</t>
  </si>
  <si>
    <t>IMS_WU_7015</t>
  </si>
  <si>
    <t>IMS_WU_7016</t>
  </si>
  <si>
    <t>ITS-CHMOD0000386</t>
  </si>
  <si>
    <t>IMS_WU_7017</t>
  </si>
  <si>
    <t>IMS_WU_7018</t>
  </si>
  <si>
    <t>IMS_WU_7019</t>
  </si>
  <si>
    <t>Create or modify disk</t>
  </si>
  <si>
    <t>https://sanofiservices.service-now.com/onesupport?id=sc_cat_item&amp;table=sc_cat_item&amp;sys_id=195eb7f21bc9a010d849206e3b4bcb1f</t>
  </si>
  <si>
    <t>ITS-CHMOD0001314</t>
  </si>
  <si>
    <t>IMS_WU_7020</t>
  </si>
  <si>
    <t>FS creation or modification</t>
  </si>
  <si>
    <t>UNIX Virtual Server - FS creation or modification</t>
  </si>
  <si>
    <t>https://sanofiservices.service-now.com/onesupport?id=sc_cat_item&amp;table=sc_cat_item&amp;sys_id=3dd42702dbfa57400a8ffd471d9619a7</t>
  </si>
  <si>
    <t>ITS-CHMOD0001232</t>
  </si>
  <si>
    <t>IMS_WU_7021</t>
  </si>
  <si>
    <t>ITS-CHMOD0001276</t>
  </si>
  <si>
    <t>IMS_WU_7022</t>
  </si>
  <si>
    <t>Scream test period</t>
  </si>
  <si>
    <t>ITS-CHMOD0004376</t>
  </si>
  <si>
    <t>PMS_WU_2241</t>
  </si>
  <si>
    <t>Installation Delivery Controller part</t>
  </si>
  <si>
    <t>List of activites:_x000B_1. Installation of Delivery controller._x000B_2. Configuration of Citrix DB_x000B_3. Registry modification and optimization_x000B_4. Customization</t>
  </si>
  <si>
    <t>per server</t>
  </si>
  <si>
    <t>IMS_WU_7023</t>
  </si>
  <si>
    <t>ITS-CHMOD0004729</t>
  </si>
  <si>
    <t>IMS_WU_7024</t>
  </si>
  <si>
    <t>ITS-CHMOD0004721</t>
  </si>
  <si>
    <t>IMS_WU_7025</t>
  </si>
  <si>
    <t>Decommission a Virtual Server</t>
  </si>
  <si>
    <t>ITS-CHMOD0000398</t>
  </si>
  <si>
    <t>IMS_WU_7026</t>
  </si>
  <si>
    <t>ITS-CHMOD0004368</t>
  </si>
  <si>
    <t>IMS_WU_7027</t>
  </si>
  <si>
    <t>IMS_WU_7028</t>
  </si>
  <si>
    <t>ITS-CHMOD0000382</t>
  </si>
  <si>
    <t>IMS_WU_7029</t>
  </si>
  <si>
    <t>ITS-CHMOD0004369</t>
  </si>
  <si>
    <t>IMS_WU_7030</t>
  </si>
  <si>
    <t>IMS_WU_7031</t>
  </si>
  <si>
    <t>OS hardening</t>
  </si>
  <si>
    <t>ITS-CHMOD0004803</t>
  </si>
  <si>
    <t>IMS_WU_7032</t>
  </si>
  <si>
    <t>Single Package Deployment with IQ</t>
  </si>
  <si>
    <t>IMS_WU_7033</t>
  </si>
  <si>
    <t>IMS_WU_7034</t>
  </si>
  <si>
    <t>IMS_WU_7035</t>
  </si>
  <si>
    <t>IMS_WU_7036</t>
  </si>
  <si>
    <t>Job configuration/modification for existing application.</t>
  </si>
  <si>
    <t xml:space="preserve">L3 Implementation activity - Measured per job
1. Verification of the job configuration sheet.  
2. Verification of module installation,  Agent installation, FTP service activation, FS creation etc. 
3. Creation of new jobs on the environment.
4. Verification of the jobs execution. Coordination with the business / application team after the job scheduling.  Check implementation , Activation of job, Testing of the jobs on the environment by coordinating with application team. </t>
  </si>
  <si>
    <t>IMS_WU_7037</t>
  </si>
  <si>
    <t>Job Creation for Problem remediation or maintenance activity</t>
  </si>
  <si>
    <t>IMS_WU_7038</t>
  </si>
  <si>
    <t>Job decom</t>
  </si>
  <si>
    <t>IMS_WU_7039</t>
  </si>
  <si>
    <t>Control-M Client installation</t>
  </si>
  <si>
    <t>IMS_WU_7040</t>
  </si>
  <si>
    <t>Lifecycle</t>
  </si>
  <si>
    <t>API Gateway/portal Renewal  &amp; replacement</t>
  </si>
  <si>
    <t xml:space="preserve">for current technology Layer 7 new versions and patches
1. Taking Back -up of previous version - Files/codes/mysql/gateway
2. API Gateway/portal creation/renewal/replacement, upload and install
3. Restarting the server &amp; post installation validation
4. Validation document IQF creation
 </t>
  </si>
  <si>
    <t>IMS_WU_7041</t>
  </si>
  <si>
    <t>Code versioning</t>
  </si>
  <si>
    <t>API code versioning</t>
  </si>
  <si>
    <t>1. Taking Back -up of previews API Code vershion
2. Move new API Code according to the API Owner make the request
3. Test it with API Owner
4. Close RTM</t>
  </si>
  <si>
    <t>IMS_WU_7042</t>
  </si>
  <si>
    <t>API code decommisioning</t>
  </si>
  <si>
    <t>1. Validation of the Identified API Objects for decomm readiness with API Owner
2. switch Off Monitoring and Configurations to be untagged
3. Shut down API components</t>
  </si>
  <si>
    <t>IMS_WU_7043</t>
  </si>
  <si>
    <t>SAP –  DB patching</t>
  </si>
  <si>
    <t xml:space="preserve">L3 Co-ordination Activities:
Reviewing Notes
L3 Implementaion Activities: : 
Pre-requisite 
DB Patch installation 
Post operation 
</t>
  </si>
  <si>
    <t>IMS_WU_7044</t>
  </si>
  <si>
    <t>Script Execution</t>
  </si>
  <si>
    <t>Download Script &amp; copy to target server
Ensure backup triggered/available before the execution
Parse the given script
Execute the given script on requested server &amp; DB over planned execution time
Provide evidence or share output as requested</t>
  </si>
  <si>
    <t>IMS_WU_7045</t>
  </si>
  <si>
    <t>ENC implementation</t>
  </si>
  <si>
    <t>Perform Design &amp; Implementation for Scada ENC's and Implementation of NGDC ENC's</t>
  </si>
  <si>
    <t>IMS_WU_7046</t>
  </si>
  <si>
    <t>LIST - MISC hardware Decommission</t>
  </si>
  <si>
    <t>L3 coordination:
Coordination with ITS, Platform team, Proximity and Vendor
L3 Implementation Activities:
Cleanup and decommission activities
Update CMDB</t>
  </si>
  <si>
    <t>Storage Oprerations</t>
  </si>
  <si>
    <t>https://sanofiservices.service-now.com/onesupport?id=sc_cat_item_guide&amp;table=sc_cat_item&amp;sys_id=5ba6336edb6d8c5097c1a1a01596191c</t>
  </si>
  <si>
    <t>IMS_WU_8000</t>
  </si>
  <si>
    <t xml:space="preserve">L3 Implementation activity - Measured per job
1. Verification of the job configuration sheet.  
2. Verification of module installation,  Agent installation, FTP service activation, FS creation etc. 
3.Creation/modification of resources, scheduling and other pre-req.
4. Verification of the jobs execution. Coordination with the business / application team after the job scheduling.  Check implementation , Activation of job, Testing of the jobs on the environment by coordinating with application team. </t>
  </si>
  <si>
    <t>IMS_WU_8001</t>
  </si>
  <si>
    <t>L3 Implementation activity - Measured per job
1.Pre-request check .i.e. access ,VTOM agent,file system health check .
2.Verification of new scripts provided by application,unix or other teams .
3.Creation of new jobs on the environment.
4.Testing of new jobs in lower env.
5.Verification of the jobs execution. Coordination with the business / application team after the job scheduling.Check implementation,Activation of job, Testing of the jobs on the environment by coordinating with application team.</t>
  </si>
  <si>
    <t>PMS_WU_7003</t>
  </si>
  <si>
    <t>Job Migration from one server to another, one application to another/one DC to another DC</t>
  </si>
  <si>
    <t>PMS_WU_7004</t>
  </si>
  <si>
    <t>Allows user to request for creation or modification of the first environment needed for a BI application (Qlikview, BO, ROAMBI, Cognos BI, Cognos TM1)</t>
  </si>
  <si>
    <t>Business Intelligence (BI) - Creation-Evolution</t>
  </si>
  <si>
    <t>https://sanofiservices.service-now.com/onesupport?id=sc_cat_item&amp;table=sc_cat_item&amp;sys_id=47ffae8a4f29cf40cb48c0428110c769</t>
  </si>
  <si>
    <t>PMS_WU_7006</t>
  </si>
  <si>
    <t>BI</t>
  </si>
  <si>
    <t>Cognos /TM1/Qlikview/SAP BO/Qliksense/Tibco Spotfire</t>
  </si>
  <si>
    <t>PMS_WU_7008</t>
  </si>
  <si>
    <t>PMS_WU_7014</t>
  </si>
  <si>
    <t>MySQL; PostgreSQL</t>
  </si>
  <si>
    <t xml:space="preserve">Other SQL Instance Provisioning </t>
  </si>
  <si>
    <t>DB Others</t>
  </si>
  <si>
    <t>PMS_WU_7015</t>
  </si>
  <si>
    <t>WW / Middleware / CHG / Deployment / Informatica Object Deployments</t>
  </si>
  <si>
    <t>ITS-CHMOD0003984</t>
  </si>
  <si>
    <t>per deployment</t>
  </si>
  <si>
    <t>PMS_WU_7016</t>
  </si>
  <si>
    <t>Cloud</t>
  </si>
  <si>
    <t>Informatica Cloud Project Onboarding (IICS)</t>
  </si>
  <si>
    <t>Informatica Hosting MaNot Applicablegement</t>
  </si>
  <si>
    <t>https://sanofiservices.service-now.com/onesupport?id=sc_cat_item_guide&amp;table=sc_cat_item&amp;sys_id=d6086578dba52894cff7043bd3961985</t>
  </si>
  <si>
    <t>PMS_WU_7017</t>
  </si>
  <si>
    <t>Creation, evolution, transport, deployment, administration and configuration request.</t>
  </si>
  <si>
    <t>ETL MaNot Applicablegement</t>
  </si>
  <si>
    <t>https://sanofiservices.service-now.com/onesupport?id=sc_cat_item&amp;table=sc_cat_item&amp;sys_id=3399b696db39070005ea766eaf9619a8</t>
  </si>
  <si>
    <t>PMS_WU_7019</t>
  </si>
  <si>
    <t>WW / TT6 Storage / Provisioning / CIFS share</t>
  </si>
  <si>
    <t>1. Receive the standard RITM for the CIFS share creation.
2. Gathering information from the RITM.
3. Co-ordinate with the requestor to get the missing mandatory details in RITM.
4. The standard change will be open post the RITM/first sctask is approved.
5. Verify the vserver name/path/IP from the RITM and check the free space in the storage aggregate.
6. Create the new volume from the Vserver having CIFS protocol and new share from the newly created volume.
7. Assign the snapshot policy for the new volume and create the snapmirror relationship for the volume from destination storage(CVO).
8. Assign one of the ctask to the access management team to provide access to the users/AD groups which is provided in the RITM.
9. Get the confirmation from the requestor on the share access.
10. Close the final ctask of the standard change which is for validation task, so that complete change will be closed.</t>
  </si>
  <si>
    <t>ITS-CHMOD0001434</t>
  </si>
  <si>
    <t>per CIFS share</t>
  </si>
  <si>
    <t>PMS_WU_7020</t>
  </si>
  <si>
    <t>WW / TT6 Storage / Provisioning / CIFS share + NFS export</t>
  </si>
  <si>
    <t>1. Receive the standard RITM for the CIFS/NFS share creation.
2. Gathering information from the RITM.
3. Co-ordinate with the requestor to get the missing mandatory details in RITM.
4. The standard change will be open post the RITM/first sctask is approved.
5. Verify the vserver name/path/IP from the RITM and check the free space in the storage aggregate.
6. Create the new volume from the Vserver having CIFS/NFS protocol(multi) and new share from the newly created volume.
7. create a new export policy and assign the policy to the new created volume.
8. create the new rules by adding the unix server IPs under the export policy.
7. Assign the snapshot policy for the new volume and create the snapmirror relationship for the volume from destination storage(CVO).
8. Assign one of the ctask to the access management team to provide access to the users/AD groups/service account which is provided in the RITM.
9. Get the confirmation from the requestor on the share access.
10. Close the final ctask of the standard change which is for validation task, so that complete change will be closed.</t>
  </si>
  <si>
    <t>ITS-CHMOD0001435</t>
  </si>
  <si>
    <t>PMS_WU_7021</t>
  </si>
  <si>
    <t>WW / TT6 Storage / Provisioning / NFS export</t>
  </si>
  <si>
    <t>1. Receive the standard RITM for the CIFS share creation.
2. Gathering information from the RITM.
3. Co-ordinate with the requestor to get the missing mandatory details in RITM.
4. The standard change will be open post the RITM/first sctask is approved.
5. Verify the vserver name/path/IP from the RITM and check the free space in the storage aggregate.
6. Create the new volume from the Vserver having NFS protocol and create a new export policy and assign the policy to the new created volume.
7. Create the new rules by adding the unix server IPs under the export policy.
8. Get the confirmation from the requestor on the NFS path access from unix server.
9. Close the final ctask of the standard change which is for validation task, so that complete change will be closed.</t>
  </si>
  <si>
    <t>ITS-CHMOD0001438</t>
  </si>
  <si>
    <t>PMS_WU_7023</t>
  </si>
  <si>
    <t>AWS; GCP</t>
  </si>
  <si>
    <t>Public Cloud AWS S3/GCP Cloud Storage Provisioning</t>
  </si>
  <si>
    <t>1. RITM received from the requestor.
2. We will check the account names, share name, backup details are given in RITM.
3. Share the standard template to users if any mandotory information is missing.
4. once all the details are received, login to the AWS console with PUID.
5. search for the account name and login to the requested account name.
6. search S3 service and create S3 bucket as per the requirement.
7. Share the S3 bucket name and ARN details to the requestor.</t>
  </si>
  <si>
    <t>Cloud Storage Operations</t>
  </si>
  <si>
    <t>https://sanofiservices.service-now.com/onesupport?id=sc_cat_item_guide&amp;table=sc_cat_item&amp;sys_id=a93ec1b31b46f810d849206e3b4bcb58</t>
  </si>
  <si>
    <t>ITS-CHMOD0004489</t>
  </si>
  <si>
    <t>PMS_WU_7024</t>
  </si>
  <si>
    <t>GCP</t>
  </si>
  <si>
    <t>Public Cloud AWS EFS/GCP File Store Provisioning</t>
  </si>
  <si>
    <t>1. RITM received from the requestor.
2. We will check the account names, backup details are given in RITM RITM23121313.
3. once all the details are received, login to the AWS console with PUID.
4. search for the account name and login to the requested account name.
5. search the EFS service and create the EFS file system.
6. Share the mount point details and EFS file name, EFS ID to the Unix team to mount the EFS file system for the required host.</t>
  </si>
  <si>
    <t>ITS-CHMOD0004491</t>
  </si>
  <si>
    <t>PMS_WU_7025</t>
  </si>
  <si>
    <t>AWS</t>
  </si>
  <si>
    <t>Public Cloud AWS FSx Provisioning</t>
  </si>
  <si>
    <t>1. RITM received from the requestor.
2. We will check the AWS account ID, backup details,FSX instance are given in RITM RITM23215413.
3. once all the details are received, login to the AWS console with PUID.
4. Search for the account name and login to the requested account name.
5. Search for FSX instance and create the new FSX-share
6. Share the FSX share path to the requestor.</t>
  </si>
  <si>
    <t>ITS-CHMOD0004492</t>
  </si>
  <si>
    <t>PMS_WU_7026</t>
  </si>
  <si>
    <t>On_Prem_NGDC</t>
  </si>
  <si>
    <t>VM Server Build</t>
  </si>
  <si>
    <t>L3 Implementation Activities::
- L3 Review &amp; Verification post installation 
- IQ – verification &amp; approval
L3 Co-ordination Activities ::
- Gather requirement in GIFT form and verify GIFT and ensure completeness.</t>
  </si>
  <si>
    <t>Legacy Server provisioning standard Windows</t>
  </si>
  <si>
    <t>https://sanofiservices.service-now.com/onesupport?id=sc_cat_item&amp;table=sc_cat_item&amp;sys_id=a13007884fe0cb04cb48c0428110c751</t>
  </si>
  <si>
    <t>ITS-CHMOD0000412</t>
  </si>
  <si>
    <t>PMS_WU_7027</t>
  </si>
  <si>
    <t>On_Prem_NonNGDC</t>
  </si>
  <si>
    <t>3. once all the details are received, login to the AWS console with PUID.</t>
  </si>
  <si>
    <t>AIMS Infrastructure - Non-Project</t>
  </si>
  <si>
    <t>https://sanofiservices.service-now.com/onesupport?id=sc_cat_item&amp;table=sc_cat_item&amp;sys_id=d2970fcadbe9878405ea766eaf96192e</t>
  </si>
  <si>
    <t>ITS-CHMOD0001329</t>
  </si>
  <si>
    <t>PMS_WU_7028</t>
  </si>
  <si>
    <t>Linux; Azure</t>
  </si>
  <si>
    <t>Linux on Azure</t>
  </si>
  <si>
    <t>4. Search for the account name and login to the requested account name.</t>
  </si>
  <si>
    <t>ITS-CHMOD0005319</t>
  </si>
  <si>
    <t>Out of scope, Unix team not build any server and no KT provided</t>
  </si>
  <si>
    <t>PMS_WU_7029</t>
  </si>
  <si>
    <t>Linux; Azure; Oracle</t>
  </si>
  <si>
    <t>Linux Oracle on Azure</t>
  </si>
  <si>
    <t>5. Search for FSX instance and create the new FSX-share "tibco-scale-dev-ebuy" in existing FSX instance:cld-aws-global-dev-workloads-TIBCO-fsx002 fs-09eedfe6c58f3188a.</t>
  </si>
  <si>
    <t>ITS-CHMOD0005248</t>
  </si>
  <si>
    <t>PMS_WU_7031</t>
  </si>
  <si>
    <t>6. Share the FSX share path to the requestor.</t>
  </si>
  <si>
    <t>PMS_WU_7032</t>
  </si>
  <si>
    <t>Windows on GCP</t>
  </si>
  <si>
    <t>PMS_WU_7033</t>
  </si>
  <si>
    <t>Windows; IIS; Citrix; AZURE</t>
  </si>
  <si>
    <t>Windows on Azure</t>
  </si>
  <si>
    <t>Managed by Mobiz team</t>
  </si>
  <si>
    <t>ITS-CHMOD0005318</t>
  </si>
  <si>
    <t>PMS_WU_7035</t>
  </si>
  <si>
    <t>VM Citrix Server Build</t>
  </si>
  <si>
    <t>PMS_WU_7036</t>
  </si>
  <si>
    <t>AWS Quicksight</t>
  </si>
  <si>
    <t>PMS_WU_7037</t>
  </si>
  <si>
    <t>GLOBAL / Middleware / CHG / Deployment / EAI - TIBCO Application Deployment or Configuration</t>
  </si>
  <si>
    <t>TIBCO Administration Request
EAI- TIBCO Platform Administration and Deployment
This request allows ITPLs, TPDLs, Application Support, and others to request EAI team:
- to perform various TIBCO Platform Administration tasks.
- to perform TIBCO Application deployments.
- to perform EMS Administration operations.
- to provision or revoke access from TIBCO Admin, TEA, EMS, MDM.
- to make configuration changes on existing TIBCO domains, environments, and servers.
- to perform deletion, archival, copy, and movement of files, folders, and other entities.
- to extract and provide files, application archives, configurations, and other application related objects.</t>
  </si>
  <si>
    <t>https://sanofiservices.service-now.com/dsp/?id=sc_cat_item&amp;sys_id=ae3a7e7c1bd0b410e4aebb739b4bcbd1</t>
  </si>
  <si>
    <t>ITS-CHMOD0004805</t>
  </si>
  <si>
    <t>PMS_WU_0260</t>
  </si>
  <si>
    <t>VMWare</t>
  </si>
  <si>
    <t xml:space="preserve">ESX Cluster Build </t>
  </si>
  <si>
    <t xml:space="preserve">L2 Installation Activities:
- OS Deployment
L3 Coordination &amp; Implementation Activities:
- Host Profile configuration
- Network Configuration -
- Storage Configuration 
- Cluster Configuration including HA and DRS configuration </t>
  </si>
  <si>
    <t>PMS_WU_0261</t>
  </si>
  <si>
    <t>ESX Server Build</t>
  </si>
  <si>
    <t xml:space="preserve">L3 Coordination Activities:
L3 Implementation Activities:
OS Deployment
Hardware Setup </t>
  </si>
  <si>
    <t>IMS_WU_8002</t>
  </si>
  <si>
    <t>Application Configuration in SRM for Disaster Recovery for VM's</t>
  </si>
  <si>
    <t xml:space="preserve">L3 Coordination &amp; Implementation Activities:
- Requirement analysis and Pre-requisites check
- Enable Replication on the VMs 
- Configure Protection Group 
- Configure Recovery Plan </t>
  </si>
  <si>
    <t>PMS_WU_2202</t>
  </si>
  <si>
    <t>CARA Deploy Team</t>
  </si>
  <si>
    <t>Cara</t>
  </si>
  <si>
    <t>Creation of IS references in GeodIS and fill the form for MagicBox</t>
  </si>
  <si>
    <t>Validate the AS and Scoping document  - 15 minutes 
Validate the technical document                - 15 minutes
Validate the scoping document                   - 15 mintues
Input flow in CARA ( to validate the details in Vcentre) ex:datastore,connectivity to Vcentre,Local NES details,DNS entry validation)  - 20 minutes
Creation of IQTC &amp; TSD for Infra                 - 30 minutes (Trigger the flow in CARA and it has multiple sub-flows and it takes time) 
Creation of IQTC &amp; PSD for application    -30 minutes</t>
  </si>
  <si>
    <t xml:space="preserve">per deployment  with mulitple VM by deployment </t>
  </si>
  <si>
    <t>PMS_WU_2256</t>
  </si>
  <si>
    <t>Configure the repository (Archiva) and start the replication</t>
  </si>
  <si>
    <t>Configure the respoitority for the new NES - 20 minutes
Follow-up for the site details - Existing site - (domain controller details,SEP-GUP ,SCCM details) - 10 minutes
New NES configuration in automation studio- for only new site - 20 minutes
New NES configuation in CARA site ( Create new environment , setup agent assignment,setup parameter section,publish flow in new environment) - 20 minutes</t>
  </si>
  <si>
    <t xml:space="preserve">Per Deployment </t>
  </si>
  <si>
    <t>PMS_WU_0264</t>
  </si>
  <si>
    <t>Adhoc VM migrations</t>
  </si>
  <si>
    <t xml:space="preserve">L3 Coordination Activities ::
- Assessing the Applications
- Resource validation (ESXi, Network, Firewall, NFS etc.)
L3 Implementation Activities::
- Performance checking &amp; Verification of server after migration </t>
  </si>
  <si>
    <t>VX Rail Build</t>
  </si>
  <si>
    <r>
      <rPr>
        <sz val="9"/>
        <color theme="1"/>
        <rFont val="Cambria"/>
        <family val="1"/>
      </rPr>
      <t> 1 Initial Racking/Cabling/Site Readiness  (</t>
    </r>
    <r>
      <rPr>
        <i/>
        <sz val="9"/>
        <color theme="1"/>
        <rFont val="Cambria"/>
        <family val="1"/>
      </rPr>
      <t>to be done by DC (IMS))</t>
    </r>
    <r>
      <rPr>
        <sz val="9"/>
        <color theme="1"/>
        <rFont val="Cambria"/>
        <family val="1"/>
      </rPr>
      <t xml:space="preserve">
2 Network Configuration (  all network plan, ip subnets etc. network information with PTC or  IFR team, Isolation IP's )
3 Provide CDP details to Network team
4 Firewall ENC requirements 
5 Dell EDP details
6 Dell Design Meeting
7 Pre-exquisite checks forward &amp; reverse lookup DNS of node &amp; iDRAC,Witness,vCenter &amp; VXRAIL version check
8 Preaparation of technical specification document
9 Racking/Cabling/VXRAIL installtion 
10 VXRAIL node to added on vCenter &amp; configuration 
11 IQTC preparation
Preparation: 4 hrs
Technical discussion : 4 hrs
 TSD/EDP: 4 hrs
Additional Meetings : 2 hrs
Installation: 16 hrs
IQTC: 4 hrs</t>
    </r>
  </si>
  <si>
    <t xml:space="preserve">Per VX rail </t>
  </si>
  <si>
    <t>PMS_WU_2029</t>
  </si>
  <si>
    <t>Install CA Release Automation Agent Windows only Regarding SCADALAN &gt; Read IP to identify Firewall rules to implement</t>
  </si>
  <si>
    <t xml:space="preserve">Install the CARA agent on all the CARA servers to create it in windows and Linux 
</t>
  </si>
  <si>
    <t>PMS_WU_2203</t>
  </si>
  <si>
    <t>Initialize the MagicBox for the project by CARA deploy team</t>
  </si>
  <si>
    <t xml:space="preserve">Validate the request (Pre-req validations)
Creation of Alogsec request
Creation of computer object
Creation of DNS entries
Synchronization </t>
  </si>
  <si>
    <t>PMS_WU_2204</t>
  </si>
  <si>
    <t>Create site(s) (Infrastructure and/or Application) in CA Release Automation</t>
  </si>
  <si>
    <t>Create a new environment
Publish the flow in new environment
Configure the agent assignment and parameters section in CARA</t>
  </si>
  <si>
    <t>Per Site</t>
  </si>
  <si>
    <t>PMS_WU_2213</t>
  </si>
  <si>
    <t>Automated installation of infrastructure components on Virtual Machines, performed through Release Automation solution.</t>
  </si>
  <si>
    <t xml:space="preserve">Single VM instance 
Validate Request (with all prerequiste details) - 30 mintues
Algosec Request Creation - 20 minutes ( Only ticket creation) 
Algosec team will take minimum of 3 days to 5 days SLA to complete the request.
DNS Entry creation for all servers  - 5 minutes ( only ticket creation)
Computer object for Windows Server - 10 mintues
Synchronization                              - 20 minutes ( existing site) 
for new site it will additional time  maimum of 2 days because copy the contents from the central repo. ( almost nearly 140 GB of data) - We experimented last two times the internet bandwidth is only KB.  
xml Creation                                                     -  20 minutes ( Per VM)
Application/Infra Deployment            -  3 hours ( along with tools installation)
Approvals                                           - 30 minutes ( will be delayed in case if they haven't approved on time)
Post Deployment Steps               - 10 minutes ( Wave request)
Follow to close the request      - 10 minutes ( depends upon the confirmation from PTC and close the request. Tehcnical team will validate and confirm back to CARA team )
Connect with PTC (on call)        - Additional time required in case if the PTC doesn't provide proper info. (Follow up to get all the details)
</t>
  </si>
  <si>
    <t xml:space="preserve">Per RITM - Time for 2 VM to 10 VM per RITM </t>
  </si>
  <si>
    <t>10 (Algosec 3 - 5 BD &amp; DNS- 3 BD)</t>
  </si>
  <si>
    <t>PMS_WU_2243</t>
  </si>
  <si>
    <t>Automated installation tasks for PICO and Kepware modules using CARA</t>
  </si>
  <si>
    <t>Create the applicatoin TSD
Approvals (tools and OS verificaiton) from corressponding team
Trigger the application deployment
Creation of IQTC and approvals
Post deployment steps ( Enroll the patch)
Compliance ( change model or change to be raised)
Sometime =&gt; Physical Server HANA need to be deploy 
=&gt; In case of Troubleshooting included in this line</t>
  </si>
  <si>
    <t>Per deployment</t>
  </si>
  <si>
    <t>PMS_WU_2257</t>
  </si>
  <si>
    <t>Share Application Installation via CARA</t>
  </si>
  <si>
    <t>Create the applicatoin TSD
Approvals (tools and OS verificaiton) from corressponding team
Trigger the application deployment
Creation of IQTC and approvals
Post deployment steps ( Enroll the patch)
Compliance ( change model or change to be raised)
In case of Troubleshooting included in this line</t>
  </si>
  <si>
    <t>PMS_WU_0017</t>
  </si>
  <si>
    <t>Infra Monitoring</t>
  </si>
  <si>
    <t>Splunk</t>
  </si>
  <si>
    <t>Monitoring Tool Application installation</t>
  </si>
  <si>
    <t>L3 Implementation Activities:
- Installation/Upgradation and configuration of Splunk Instance ( Search head, Indexer, Deployment server and Heavy forwarder) as per the requirement.
- Installation/Upgradation and configuration of Splunk base apps based on requirement (ex : AWS / Commvolt)
- Work on the scripts part as per the requirement
- Work on complex SPL queries for the dashboards
- Work on the summary Indexes and append and modify the queries
- Implementing the Script, Text file and log file monitoring wherever its is required</t>
  </si>
  <si>
    <t>Per RITM Max 20 CI entries</t>
  </si>
  <si>
    <t>PMS_WU_0149</t>
  </si>
  <si>
    <t>Splunk Agent Installation</t>
  </si>
  <si>
    <t xml:space="preserve">L2 Implementation Activities:
- Splunk Agent upgrade when it is not supported
- Upgrade the *nix universal forwarder
- Upgrade the Windows universal forwarder
- Splunk Agent package downlaod and configure 
- Validate the version of the Splunk Agent
- Validate the data if we are receiving like earlier  </t>
  </si>
  <si>
    <t>IMS_WU_8003</t>
  </si>
  <si>
    <t xml:space="preserve">DNS Record Update </t>
  </si>
  <si>
    <t>1. Need to check the RITM and find out the details
2.  Login AWS Console and naviagte Route53 , add or update the RecordSet in  hostedZone.</t>
  </si>
  <si>
    <t>PMS_WU_0150</t>
  </si>
  <si>
    <t>Global implementation for New Metric injection in Monitoring Tool</t>
  </si>
  <si>
    <t>L3 Implementation Activities:
- Work on the scripts part as per the requirement
- Work on complex SPL queries for the dashboards
- Work on the summary Indexes and append and modify the queries
- Troubleshoot the Splunk Instances
- Create the alerts as per the requirement
- create reports and dashboards 
- Work on correlation queries for Service now Incident creation. 
- Work on Complex issues by raising with the Splunk vendor cases</t>
  </si>
  <si>
    <t>PMS_WU_0151</t>
  </si>
  <si>
    <t>Configure New Technology Events in Monitoring Tool</t>
  </si>
  <si>
    <t>L3 Implementation Activities:
- Installation configuration of Splunk base apps and Addon based on requirement (ex : AWS / Commvolt)
- Syslog integaration
- Snmp integration
- HEC integration
- Custom app Integarion
- Implementing the Script, Text file and log file monitoring wherever its is required.
- Create the alerts as per the requirement
- create reports and dashboards 
- Work on correlation queries for Service now Incident creation</t>
  </si>
  <si>
    <t>PMS_WU_0152</t>
  </si>
  <si>
    <t>Decommissioning of Monitoring Tool (Project driven)</t>
  </si>
  <si>
    <t>L3 Implementation Activities
Remove from existing configuration 
Uninstallation of Splunk application.:</t>
  </si>
  <si>
    <t>IMS_WU_8004</t>
  </si>
  <si>
    <t>IAM Role and/or Policy Request</t>
  </si>
  <si>
    <t>1. Need to check the RITM and find out the details
2.  Json will be shared by Application Team 
3. Approved by Sanofi Architecture
4. Implement it on IAM user policy or Role manually via AWS Console , only IAM role along with trust policy will be provided by Sanofi Architecture</t>
  </si>
  <si>
    <t>IMS_WU_8005</t>
  </si>
  <si>
    <t>Modify &amp; removal of IAM users</t>
  </si>
  <si>
    <t>1. Need to check the RITM and find out the details
2. Approved by Sanofi Architecture
3. Login to AWS Console
4. Navigate the IAM service
5. Modify or remove the IAM users</t>
  </si>
  <si>
    <t xml:space="preserve">MaNot Applicablege IAM Users </t>
  </si>
  <si>
    <t>IMS_WU_8006</t>
  </si>
  <si>
    <t>S3 Bucket Policy Update</t>
  </si>
  <si>
    <t>1. Need to check the RITM and find out the details
2.  Json will be shared by Application Team 
3. Approved by Sanofi Architecture
4. Implement it on S3 bucket policy manually via AWS Console</t>
  </si>
  <si>
    <t>PMS_WU_8010</t>
  </si>
  <si>
    <t xml:space="preserve">DNS Creation </t>
  </si>
  <si>
    <t>1. Need to check the RITM and find out the details
2. Need to check what DNS zones needs to be created 
3. Identify the required terraform module to be used for DNS zones
4. Login to SAML server and clone the pipeline
5. Modify the terragrunt file as per the requirement
5. Do the git commit and push
6. Check the pipeline if it has been run and doing the required task
7. Create the merge request if everything is fine in step 6.
8. Verify or validate the pipeline and/or console to see if the required api has been activated</t>
  </si>
  <si>
    <t>Per project</t>
  </si>
  <si>
    <t>IMS_WU_8007</t>
  </si>
  <si>
    <t xml:space="preserve">Security Group Update </t>
  </si>
  <si>
    <t>1. Need to check the RITM and find out the details
2 . Approved by Sanofi Architecture
3.  Login to AWS Console
4. Navigate the Service EC2, under search Security Group
5. Update Security Group based on the RITM like deletion of port, delete the security group</t>
  </si>
  <si>
    <t>IMS_WU_8010</t>
  </si>
  <si>
    <t>AWS Account Demmission</t>
  </si>
  <si>
    <t>1. Need to check the RITM and find out the details
2. Empty the S3 bucket manually to delete using terraform
3. Identify the required terraform module and run terragrunt destroy command
4. VPC Peering deletion</t>
  </si>
  <si>
    <t>IMS_WU_8011</t>
  </si>
  <si>
    <t xml:space="preserve">Internet Facing Service Deployment </t>
  </si>
  <si>
    <t>1. Need to check the RITM and find out the details
2. Approved by Sanofi Architecture
3.  We have to generate Domain Certificate for AMER region using terraform 
4. Non AMER region, login to AWS Console and go to respective Region and generate the ACM certificate
5. Send the mail to Sanofi DNS Team to validate
6. Once it is updated , we update the config file and apply terraform</t>
  </si>
  <si>
    <t>PMS_WU_8003</t>
  </si>
  <si>
    <t>Project creation</t>
  </si>
  <si>
    <t>1. Need to check the RITM and find out the details
2. Create standard change for project commission request
3. Check if default AD-groups have been created or not
4. Raise and IPAM request to get the CIDR range from network team as per requirement
5. Login to the GCP console to get the details of the project folder location
6. Identify the required terraform modules to be used for folder creation, project creation and other subsequent requirement in the request
7. Login to SAML server and clone the respective pipelines
8. Modify the each terragrunt file as per the requirement
9. Do the git commit and push
10. Check the pipeline if it has been run and doing the required task
11. Create the merge request if everything is fine in step 6.
12. Verify or validate the pipeline and/or console to see if the project has been created with the given details</t>
  </si>
  <si>
    <t>IMS_WU_8012</t>
  </si>
  <si>
    <t xml:space="preserve">Custom IAM Role Adjustement </t>
  </si>
  <si>
    <t>1. Need to check the RITM and find out the details
2. Need to check what is the requirement for IAM roles to be created/modified/deleted
3. Identify the required terraform module to be used for IAM roles from custom-iam, project-iam and custom-iam-sa
4. Login to SAML server and clode the pipeline
5. Modify the terragrunt file as per the requirement
5. Do the git commit and push
6. Check the pipeline if it has been run and doing the required task
7. Create the merge request if everything is fine in step 6.
8. Verify or validate the pipeline and/or console to see if the required IAM roles has been created/modified/deleted</t>
  </si>
  <si>
    <t>IMS_WU_8013</t>
  </si>
  <si>
    <t xml:space="preserve">Project Decommission Restore </t>
  </si>
  <si>
    <t>1. Need to check the RITM and find out the details about the project
2. Disable the billing for the project and put it under observation for next 30 days for scream test
3. After scream test Create standard change for project decommission
4. Follow the steps as per standard change to get windows/unix/sql instances decommissioned or removed
5. Delete remove every other resource like storage buckets etc which can prevent from project being decommissioned
6. Identify the relevant terraform module to be used for project decommission.
7. Login to SAML server and clone the respective pipelines
8. Modify the each terragrunt file as per the requirement
9. Do the git commit and push
10. Check the pipeline if it has been run and doing the required task
11. Create the merge request if everything is fine in step 6.
12. Verify or validate the pipeline and/or console to see if the project has been decommissioned and repository has been updated</t>
  </si>
  <si>
    <t>PMS_WU_8011</t>
  </si>
  <si>
    <t xml:space="preserve">VPC Creation </t>
  </si>
  <si>
    <t>1. Need to check the RITM and find out the details
2. Need to check what is the requirement for VPC network to be created/modified/deleted
3. Identify the required terraform module to be used for VPC 
4. Login to SAML server and clode the pipeline
5. Modify the terragrunt file as per the requirement
5. Do the git commit and push
6. Check the pipeline if it has been run and doing the required task
7. Create the merge request if everything is fine in step 6.
8. Verify or validate the pipeline and/or console to see if the required change has been completed</t>
  </si>
  <si>
    <t>IMS_WU_8014</t>
  </si>
  <si>
    <t>Security Policy Change</t>
  </si>
  <si>
    <t>1. Need to check the RITM and find out the details
2. Need to check what is the requirement for security policy
3. Get it reviewed with service owner or security team to take their concurrence
4. Identify the required terraform module to be used for changes in security policy like organization-constraints
5. Login to SAML server and clode the pipeline
6. Modify the terragrunt file as per the requirement
7. Do the git commit and push
8. Check the pipeline if it has been run and doing the required task
9. Create the merge request if everything is fine in step 6.
10. Verify or validate the pipeline and/or console to see if the required IAM roles has been created/modified/deleted
11. Revert the policy change in due course if it is a temporary requirement for the project</t>
  </si>
  <si>
    <t>Per project / Global change</t>
  </si>
  <si>
    <t>PMS_WU_8012</t>
  </si>
  <si>
    <t xml:space="preserve">Create VPN Connection </t>
  </si>
  <si>
    <t>1. Need to check the RITM and find out the details
2. Need to check what is the requirement for VPN to be created/modified/deleted
3. Identify the required terraform module to be used for VPN 
4. Login to SAML server and clone the pipeline
5. Modify the terragrunt file as per the requirement
5. Do the git commit and push
6. Check the pipeline if it has been run and doing the required task
7. Create the merge request if everything is fine in step 6.
8. Verify or validate the pipeline and/or console to see if the required change has been completed</t>
  </si>
  <si>
    <t>IMS_WU_8015</t>
  </si>
  <si>
    <t xml:space="preserve">VPC Modification or Removal </t>
  </si>
  <si>
    <t>IMS_WU_8016</t>
  </si>
  <si>
    <t xml:space="preserve">WEB Proxy Change </t>
  </si>
  <si>
    <t>1. Need to check the RITM and find out the details
2. Need to check what is the requirement for webproxy change 
3. Identify the required terraform module to be used for webproxy 
4. Login to SAML server and clone the pipeline
5. Modify the terragrunt file as per the requirement
5. Do the git commit and push
6. Check the pipeline if it has been run and doing the required task
7. Create the merge request if everything is fine in step 6.
8. Verify or validate the pipeline and/or console to see if the required change has been completed</t>
  </si>
  <si>
    <t>IMS_WU_8017</t>
  </si>
  <si>
    <t>Splunk Agent Upgrade</t>
  </si>
  <si>
    <t>PMS_WU_8013</t>
  </si>
  <si>
    <t xml:space="preserve">Create Database User Account Management </t>
  </si>
  <si>
    <t>1. User Creation (Postgress, My SQL, MS SQL &amp; Oracle)</t>
  </si>
  <si>
    <t xml:space="preserve">Data User account MaNot Applicablegement </t>
  </si>
  <si>
    <t>IMS_WU_8018</t>
  </si>
  <si>
    <t>Decommissioning of Monitoring Tool (BAU)</t>
  </si>
  <si>
    <t>IMS_WU_8019</t>
  </si>
  <si>
    <t>API Activation</t>
  </si>
  <si>
    <t>1. Need to check the RITM and find out the details
2. Need to check which APIs needs to be enabled 
3. Identify the required terraform module to be used for API activation
4. Login to SAML server and clode the pipeline
5. Modify the terragrunt file as per the requirement
5. Do the git commit and push
6. Check the pipeline if it has been run and doing the required task
7. Create the merge request if everything is fine in step 6.
8. Verify or validate the pipeline and/or console to see if the required api has been activated</t>
  </si>
  <si>
    <t>PMS_WU_8014</t>
  </si>
  <si>
    <t xml:space="preserve">Creation of  IAM Users </t>
  </si>
  <si>
    <t>1. Need to check the RITM and find out the details
2. Approved by Sanofi Architecture
3. Login to AWS Console
4. Navigate the IAM service
5. Create the IAM users</t>
  </si>
  <si>
    <t xml:space="preserve">Create IAM Users </t>
  </si>
  <si>
    <t>IMS_WU_8020</t>
  </si>
  <si>
    <t>API Modification or removal</t>
  </si>
  <si>
    <t>IMS_WU_8021</t>
  </si>
  <si>
    <t>DNS modification or removal</t>
  </si>
  <si>
    <t>IMS_WU_8022</t>
  </si>
  <si>
    <t>Firewall rules rules Create / modification or removal</t>
  </si>
  <si>
    <t>1. Need to check the RITM and find out the details
2. Need to check what firewal rules needs to be created/modified/deleted
3. Identify the required terraform module to be used for firewall
4. Login to SAML server and clode the pipeline
5. Modify the terragrunt file as per the requirement
5. Do the git commit and push
6. Check the pipeline if it has been run and doing the required task
7. Create the merge request if everything is fine in step 6.
8. Verify or validate the pipeline and/or console to see if the required firewall rules has been created/modified/deleted</t>
  </si>
  <si>
    <t>PMS_WU_8002</t>
  </si>
  <si>
    <t>AWS Account Provision Legacy (Manual)</t>
  </si>
  <si>
    <t>1. Need to check the RITM and find out the details
2. Identify the required terraform module 
3. Login to SAML server and clode the pipeline
4. Modify the terragrunt file as per the requirement
5. Do the git commit and push
6. Check the pipeline if it has been run and doing the required task
7. Create the merge request if everything is fine then it will trigger the Gitlab pipeline
8. Verify or validate the pipeline and/or console to see if the required api has been activated</t>
  </si>
  <si>
    <t>AWS Account Provision Legacy</t>
  </si>
  <si>
    <t>PMS_WU_8009</t>
  </si>
  <si>
    <t xml:space="preserve">VPC Endpoint Creation  </t>
  </si>
  <si>
    <t>1. Need to check the RITM and find out the details
2. Approved by Sanofi Architecture
3. Login to AWS Console
4. Navigate the Endpoint under VPC
5. Create the VPC Endpoint as requested</t>
  </si>
  <si>
    <t xml:space="preserve">VPC Endpoint Creation </t>
  </si>
  <si>
    <t>IMS_WU_8023</t>
  </si>
  <si>
    <t>Modify / Removal of VPN Connection</t>
  </si>
  <si>
    <t>IMS_WU_8024</t>
  </si>
  <si>
    <t xml:space="preserve">VPC Endpoint Deletion </t>
  </si>
  <si>
    <t>1. Need to check the RITM and find out the details
2. Approved by Sanofi Architecture
3. Login to AWS Console
4. Navigate the Endpoint under VPC
5. Delete the VPC Endpoint as requested</t>
  </si>
  <si>
    <t>IMS_WU_8025</t>
  </si>
  <si>
    <t>Update on Internet Proxy (Port or Whitelist SFTP)</t>
  </si>
  <si>
    <t>1. Need to check the RITM and find out the details
2.  Login to AWS Console
3. Navigate the Service EC2
4. Update User-data with port number/Domain name as requested
5. Refresh the proxy autoscaling group</t>
  </si>
  <si>
    <t>IMS_WU_8026</t>
  </si>
  <si>
    <t>MFT--AWS</t>
  </si>
  <si>
    <t xml:space="preserve">Modify / Delete SFTP user access from AWS-bucket </t>
  </si>
  <si>
    <t>1. Gather the requiremnet from RITM request
2. checking the presence of bucket name &amp; user id details in respective unix servers 
3. Modifying / Removing the user access &amp; running the pipeline in GIT LAB.
4. Informing user to test the access using server name, id .
5. Update RITM</t>
  </si>
  <si>
    <t xml:space="preserve">IMS </t>
  </si>
  <si>
    <t>V0.5</t>
  </si>
  <si>
    <t>PMS_WU_0237</t>
  </si>
  <si>
    <t>New Storage array deployment</t>
  </si>
  <si>
    <t>Requirement gathering /Infrastructure review meetings
Storage access review and validation
Checking the basic configuration
Storage implementation/Configuration as per the standard IQ document
Raising the ENC request for
Adding the storage to Bastion
Adding to CMDB (Logging a RITM to CMDB Team)
Co-ordinate  with Vendor for any issue/support
Preparing the IQ document 
Update the Credentials in Keypass/Inventory update
Post validation review and modification</t>
  </si>
  <si>
    <t>PMS_WU_8015</t>
  </si>
  <si>
    <t>New Metro-cluster  Storage array deployment</t>
  </si>
  <si>
    <t>Requirement gathering /Infrastructure review meetings
Storage access review and validation
Checking the basic configuration of storage and Metro-cluster Switches/Bridge.
Storage and Atto Bridge/Metro Cluster Switches implementation/Configuration as per the standard IQ document
Raising/Validation the ENC request for
Adding the storage to Bastion
Adding to CMDB (Logging a RITM to CMDB Team)
Co-ordinate  with Vendor for any issue/support
Preparing the IQ document
Update the Credentials in Keypass/Inventory update
Post validation review and modification for Storage and Atto Bridge/Metro Cluster Switches</t>
  </si>
  <si>
    <t>Per Storage array</t>
  </si>
  <si>
    <t>PMS_WU_0079</t>
  </si>
  <si>
    <t>Citrix Xenapp server configuration</t>
  </si>
  <si>
    <t>L3 Implementation Activities: Per Node
- VDA installation
- Optimization (Scheduled tasks, services, registries)
- Documentation</t>
  </si>
  <si>
    <t>PMS_WU_8016</t>
  </si>
  <si>
    <t>Edge deployment pre-requiisites for Citrix Xenapp servers</t>
  </si>
  <si>
    <t>Activities: Per Server
- Registry modification
- Applying Edge policies</t>
  </si>
  <si>
    <t>PMS_WU_8017</t>
  </si>
  <si>
    <t>Fslogix profile provisioning on Xenapp servers</t>
  </si>
  <si>
    <t>Activities: Per Server
- Install Fslogix agent if not installed
- Create server app specific folder on FSLogix share
- Configure profile share on the server</t>
  </si>
  <si>
    <t>PMS_WU_8018</t>
  </si>
  <si>
    <t>Citrix image upgrade</t>
  </si>
  <si>
    <t>Activities: Per Server
- Image update
- Snapshot creation
- Image testing
- Image rollout</t>
  </si>
  <si>
    <t>PMS_WU_2187</t>
  </si>
  <si>
    <t>CARA</t>
  </si>
  <si>
    <t>Automated installation tasks of a Sanetiq application, performed through a release automation solution.</t>
  </si>
  <si>
    <t>PMS_WU_8019</t>
  </si>
  <si>
    <t xml:space="preserve">IVtracer Installation via CARA </t>
  </si>
  <si>
    <r>
      <t xml:space="preserve">Create  TSD
Approvals (tools and OS verificaiton) from corresponding team
Trigger the </t>
    </r>
    <r>
      <rPr>
        <sz val="9"/>
        <color theme="1"/>
        <rFont val="Arial"/>
        <family val="2"/>
      </rPr>
      <t>PACKAGE LINUX</t>
    </r>
    <r>
      <rPr>
        <sz val="9"/>
        <rFont val="Arial"/>
        <family val="2"/>
      </rPr>
      <t xml:space="preserve"> deployment 
Creation of IQTC and approvals
Post deployment steps ( Enroll the patch)
Compliance ( change model or change to be raised)
WU is for Windows or Linux
DB Included
Deployment coevered along with tools installation &amp;
Supplementary packages are included
There is no physical server installation through CARA. Only VMs we are creating</t>
    </r>
  </si>
  <si>
    <t>per RITM
From 2 to 5 Vm by RITM</t>
  </si>
  <si>
    <t>PMS_WU_8020</t>
  </si>
  <si>
    <t>On_Prem_NGDC/Cloud</t>
  </si>
  <si>
    <t xml:space="preserve">SEP </t>
  </si>
  <si>
    <t>Manual Installation and Upgradation of SEP Client</t>
  </si>
  <si>
    <t>Validate Request (with all prerequiste details)
Connect with PTC (on call)
Follow up to get all the details
Request for Server downtime 
Follow the SOP and close the request</t>
  </si>
  <si>
    <t>PMS_WU_8021</t>
  </si>
  <si>
    <t>FireEye</t>
  </si>
  <si>
    <t>Manual Installation and Upgradation of FireEye Client</t>
  </si>
  <si>
    <t>Validate Request (with all prerequiste details)
Connect with PTC (on call)
Follow up to get all the details
Follow the SOP and close the request</t>
  </si>
  <si>
    <t>PMS_WU_8022</t>
  </si>
  <si>
    <t>OS Hardening - GPO</t>
  </si>
  <si>
    <t>Add servers to the OS Hardening security group</t>
  </si>
  <si>
    <t>Add server to OS hardening to the existing Secuirty group to apply the policy
If the Policy not get applied troubleshooting required.
Transfer the request to Windows team to reboot all the servers to get the policy reflected</t>
  </si>
  <si>
    <t>PMS_WU_8023</t>
  </si>
  <si>
    <t>Up2date wave addition and patch update (Windows/Linux)</t>
  </si>
  <si>
    <t>* Co-ordinating with Applictaion Owner to get the up2date wave details according to the patch schedule
* Check SCCM client health (Windows OS only) if not ok then co-ordinate with Wintel Team
* If SCCM cleint is ok then add the server to patch wave collections
* For Non-Windows servers we need to create DDR ( Data Discovery Record) and then add the server to patch wave collections
* After added into patch wave the server will get pacthes and patches will get installed as per wave schedule.</t>
  </si>
  <si>
    <t>Per  Site per device</t>
  </si>
  <si>
    <t>IMS_WU_8027</t>
  </si>
  <si>
    <t>informtica/IICS MFT Job configuration Update-</t>
  </si>
  <si>
    <t>1.Gather source &amp; destination details from  the RITM request. 
2. Test &amp; validate connections on both side. 
3. verify the job name in corrseponding UAT &amp; PROD 
4. Check on  modification request , Test it with sample file. 
5. Get user confrimation on file transfer and scheduling the job to execute as per request 6. Update the RITM  with updated job details .</t>
  </si>
  <si>
    <t>IMS_WU_8028</t>
  </si>
  <si>
    <t>Bastion</t>
  </si>
  <si>
    <t xml:space="preserve">Bastion Offboarding </t>
  </si>
  <si>
    <t>* Accounts deletion
* Followup with safe owners for accounts removal</t>
  </si>
  <si>
    <t>PMS_WU_8024</t>
  </si>
  <si>
    <t xml:space="preserve">Bastion Onboarding - Remediation </t>
  </si>
  <si>
    <t>* Accounts Creation
* Adding dependent service accounts/groups to the servers
* Validation of dependent services and network Ports on server end
* Registry &amp; Group policy Modifications
* Co-ordinating with N/w firewall, N/w Data and bastion team to fix non-compliant issues
* Raising ENC requests whenever required and followup on same
* Testing of RDP connection accounts</t>
  </si>
  <si>
    <t>PMS_WU_0031</t>
  </si>
  <si>
    <r>
      <t xml:space="preserve">VM Server Build perimeter </t>
    </r>
    <r>
      <rPr>
        <sz val="9"/>
        <color rgb="FFFF0000"/>
        <rFont val="Calibri (Corps)"/>
      </rPr>
      <t xml:space="preserve">NGDC + AWS + GCP ( Cloud) </t>
    </r>
  </si>
  <si>
    <t>PMS_WU_0256</t>
  </si>
  <si>
    <t xml:space="preserve"> FOR PHYSICAL SERVER  Stand Alone / Physical Build</t>
  </si>
  <si>
    <t>L3 Implementation Activities:
VCEM profile -  (setup for OS load, update for runtime).
Post build Customization-  (NIC primary/standby, vswitch, Profile update).
Discover server in HP IRS-Hardware monitoring - 
L3 Co-ordination Activities:
Gather requirement in GIFT form and verify GIFT and ensure completeness. - 
Approve IQ document -</t>
  </si>
  <si>
    <t>PMS_WU_0277</t>
  </si>
  <si>
    <t xml:space="preserve">Stand Alone / Physical Server Build OR build Platform for Physical Blade </t>
  </si>
  <si>
    <t xml:space="preserve">L3 Coordination Activities:
L3 Implementation Activities:
- Host name and IP reservation and assignment. 
-  L3 related task in CRQ, IQ approval </t>
  </si>
  <si>
    <t>PMS_WU_8025</t>
  </si>
  <si>
    <t>Windows 2003 OS</t>
  </si>
  <si>
    <t>DCSSA</t>
  </si>
  <si>
    <t>Manual Installation</t>
  </si>
  <si>
    <t>PMS_WU_8026</t>
  </si>
  <si>
    <t>OS Hardening package deployment for non Pharma domain server</t>
  </si>
  <si>
    <t>* Check SCCM client health if not ok then co-ordinate with Wintel Team
* If SCCM cleint is ok then deploy the OS hardening package on the server
* If deployment got failed inform Wintel team to remediate manually. 
* If deployment is successful then inform requester about the same</t>
  </si>
  <si>
    <t>PMS_WU_2215</t>
  </si>
  <si>
    <t>Mobility / IA Devices</t>
  </si>
  <si>
    <t xml:space="preserve">SOTI MDM </t>
  </si>
  <si>
    <t xml:space="preserve"> wifi , installation of BCR, assessment and support </t>
  </si>
  <si>
    <t>Implementation Activities:
1.We help site to create Generic account and password.
2.Request site to make GN account to be part of required Active Directory groups.
3.Verify the required AD group is configured in radius server.
4.Provide Installation document and help site to connect with Industrial wifi.
5.Provide support to the enroll the devices in SOTI.</t>
  </si>
  <si>
    <t>PMS_WU_2302</t>
  </si>
  <si>
    <t>Scoping and hardware identification 
Create ITS-Mobility package
Provide support</t>
  </si>
  <si>
    <t>Implementation Activities:
1.Request Quotation for device models as per site requirement.
2.Build package with apk/files in MCstudio.
3.Deploy packages in SOTI Console.
4.Create Profiles with deployed packages.
5.Assign profiles to target devices.
6.Provide required support for Installation of device.</t>
  </si>
  <si>
    <t>PMS_WU_2303</t>
  </si>
  <si>
    <t xml:space="preserve">DEPLOY 1 PDA OR 1 PRINTER </t>
  </si>
  <si>
    <t>Implementation Activities:
1.Request Quotation as per device model.
2.We help site to create Generic account and password.
3.We help site to enroll devices in SOTI
4.We create site folder in SOTI and we provide permission to access it.
6.We create Package/kisok profile as per site requirement with apk/bundle id provided by site.
7.we Deploy Package to respective site folder.
8.Provide support to connect with Industrial WI-FI for printers.</t>
  </si>
  <si>
    <t>PMS_WU_8027</t>
  </si>
  <si>
    <t>MFT--Informatica</t>
  </si>
  <si>
    <t>Informatica  MFT File transfer</t>
  </si>
  <si>
    <t>1.Gather source &amp; destination details from  the RITM request. 
2. Test &amp; validate connections on both side(source &amp; destination). 
3. Create  the workflow project in corrseponding UAT &amp; PROD 
4. Test it with sample file. 5. Get user confrimation on file transfer and scheduling the job to execute as per request 6. Update the RITM  with job details.</t>
  </si>
  <si>
    <t>IMS_WU_8029</t>
  </si>
  <si>
    <t>AWS-webhosting</t>
  </si>
  <si>
    <t>BWIP website decommision (BAU)</t>
  </si>
  <si>
    <t>Teams involved in the project : Dotnet team, Cloudops,MFT,Database,DNS team, Monitoring.
Co-ordination Activity: 
Implementation activity 
1. Backup of production code (on demand) and disable moniotoring 
2. Web site deletion in webservers for all 3 environments DEV, STAG, PROD
3. Remove Auto Sync Job
4. Target group deletion (on 3 environments manual deletion rules on 3 ALBs, Terroform plan &amp; Apply)
5. Remove Gitlab project 
6  Website &amp; Rollback folder deletion in S3 bucket
7. Remove SFTP access 
8. Backup (optional) and decommission of database schema deleting (if any) 
9. Cloudfront deletion for Prod website</t>
  </si>
  <si>
    <t>PMS_WU_8028</t>
  </si>
  <si>
    <t>MFT--IICS</t>
  </si>
  <si>
    <t xml:space="preserve">IICS - Mass Injestion File transfer </t>
  </si>
  <si>
    <t>1.Gather source &amp; destination details from  the RITM request. 
2. In administrator,Test &amp; validate connections on both side(source &amp; destination)  . 
3. in Mass-ingestion Create  the workflow  in corrseponding UAT &amp; PROD 
4. Test it with sample file. 5. Get user confrimation on file transfer and scheduling the job to execute as per request 6. Update the RITM  with job details.</t>
  </si>
  <si>
    <t>PMS_WU_8029</t>
  </si>
  <si>
    <t>MFT-PMS</t>
  </si>
  <si>
    <t>Axway Secure Transport</t>
  </si>
  <si>
    <t>Creation of new jobs in existing accounts</t>
  </si>
  <si>
    <t xml:space="preserve">1.Gather source &amp; destination details from  the RITM request.  
2. Define the partner details under transfer site tab. 
3. Create routing between source and the destination, 
4. Create subscription folder and map the routing , with scheduler.. 
5. Schedule as per the requirement </t>
  </si>
  <si>
    <t>Per site creation ( 3 env)</t>
  </si>
  <si>
    <t>PMS_WU_8030</t>
  </si>
  <si>
    <t>BWIP website provisioning</t>
  </si>
  <si>
    <r>
      <t xml:space="preserve">
Teams involved in the project : Dotnet team, Cloudops,MFT,Database,DNS team,Monitoring.
Co-ordination Activity: 
Requirement gathering from application teams
Implementation activity : 
1. Validating</t>
    </r>
    <r>
      <rPr>
        <b/>
        <sz val="9"/>
        <rFont val="Arial"/>
        <family val="2"/>
      </rPr>
      <t xml:space="preserve"> </t>
    </r>
    <r>
      <rPr>
        <sz val="9"/>
        <rFont val="Arial"/>
        <family val="2"/>
      </rPr>
      <t>DPR (Digital Properatary Registry)  &amp; Web site creation in 6 webservers for all 3 environments DEV, STAG, PROD
2. Setup Auto Sync Job  to pull the code from S3 Bucket to  Sever
3. Target group deployment (3 environments , feed input, plan &amp; Apply)
4. Deployment of Pipeline on GITLAB / GITHUB
5  Website &amp; Rollback folder creation in S3 bucket
6. SFTP access provisioning  (MFT team)
7. Database schema provisioning (</t>
    </r>
    <r>
      <rPr>
        <b/>
        <sz val="9"/>
        <rFont val="Arial"/>
        <family val="2"/>
      </rPr>
      <t>optional</t>
    </r>
    <r>
      <rPr>
        <sz val="9"/>
        <rFont val="Arial"/>
        <family val="2"/>
      </rPr>
      <t>)  (DB Team)
8. Cloudfront creation for Prod website and provisioning ACM certificate, co-ordinate with DNS teams (Cloud ops team)
9. Content deployment &amp; customizations until production website Go live ( Virtual app creation, one trust cookie, custom error page, manual web.config deployment, Meetings dev teams)
10.Co-ordination of URL monitoring enablement (Infra Monitoring - Optional)</t>
    </r>
  </si>
  <si>
    <t>PMS_WU_8031</t>
  </si>
  <si>
    <t>Static website provisioning</t>
  </si>
  <si>
    <t>Teams involved in the project : Dotnet team, Cloudops,MFT,DNS team, Monitoring.
Co-ordination Activity: 
Requirement gathering from application teams
Implementation activity 
1. Validating DPR &amp; Creation of S3 buckets on all 3 environments DEV, STAG, PROD
2. Apache deployment for Dev,stag and Prod
3  SFTP access provisioning
4. Gitlab project creation and pipeline deployment (cresendo template)
5. Cloudfront creation for Prod website and provisioning ACM certificate 
6. Content deployment &amp; customizations until production website Go live (one trust cookie, custom error page, Redirection rules, Meetings dev teams)
7. Co-ordination of URL monitoring enablement</t>
  </si>
  <si>
    <t>Per site deletion</t>
  </si>
  <si>
    <t>IMS_WU_8030</t>
  </si>
  <si>
    <t>Static website decommision  (BAU)</t>
  </si>
  <si>
    <t>Static Decommision:
Teams involved in the project : Dotnet team, Cloudops,MFT,DNS team, Monitoring.
Co-ordination Activity: 
Implementation activity 
1. Backup of production code (optional)
2. Disable moniotoring 
3. Deletion of S3 buckets on all 3 environments DEV, STAG, PROD 
4. Remove apache vhosts for Dev,stag and Prod
5. Remove SFTP access
6. Gitlab project and pipeline deletion
7. Cloudfront deletion for Prod website</t>
  </si>
  <si>
    <t>per Cluster</t>
  </si>
  <si>
    <t>PMS_WU_8032</t>
  </si>
  <si>
    <t>MFT--IICS/ Informatica</t>
  </si>
  <si>
    <t xml:space="preserve">Migration of Gateweay flows to Informatica/IICS </t>
  </si>
  <si>
    <t>1. Investing time in  meeting about the migration  discussion. 
2. gathering the requirements about migrating from existing to new one. 
3. discussion on next steps of submitting RITM  &amp; co-ordinating with requester, source &amp; destination teams.</t>
  </si>
  <si>
    <t>IMS_WU_8031</t>
  </si>
  <si>
    <t>Modify/Delete  Database User Account Management for existing account</t>
  </si>
  <si>
    <t>1. User Creation/Modification / Deletion  (Postgress, My SQL, MS SQL &amp; Oracle)</t>
  </si>
  <si>
    <t>PMS_WU_0029</t>
  </si>
  <si>
    <t>Linux Cluster Installation of 2 nodes and configuration of cluster</t>
  </si>
  <si>
    <t xml:space="preserve">Co-ordination Activity: 
Requirement gathering from application teams
Implementation activity : 
- Meeting with onsite team/HPE                             
- Copy Iso image to Jumpbox 
- Check the flow prerequisite on jumpbox 
- Create Raid mirroring 
- Create Kickstart file 
- Install Linux OS                                         
- Checking cabling matrix with onsite team                 
- Adding the server to wave                                
- Apply security patches                                   
- Install software (commvault, Qradar, Splunk etc..)      
- Storage prerequisite (give WWN)                           
- Checking Cluster prerequisite (flow, kernel)      
- Multipath Configuration                                   
- FileSystem Creation                                  
- Cluster Configuration                             
- Resoure group creation                                      
- HA Test along with Application team    
- Qualification Linux OS                       
- Qualification Cluster                
- Provide Proof for MTP                           </t>
  </si>
  <si>
    <t>IMS_WU_8032</t>
  </si>
  <si>
    <t>Decommissiong of Physical server</t>
  </si>
  <si>
    <t>Validate the Request by conducting 21 Days of Scream Period 
Followup to get the scream details (verify whether IINC was raised) 
Raise a DB Decom change if required 
Raising a Decom change for CI's (1 change per CI)
Decom of Physical servers</t>
  </si>
  <si>
    <t xml:space="preserve">20 for PMS and IMS ? </t>
  </si>
  <si>
    <t>V0.6</t>
  </si>
  <si>
    <t>PMS_WU_8034</t>
  </si>
  <si>
    <t>Monitoring</t>
  </si>
  <si>
    <t>L2 Monitoring Deployment for In Scope servers</t>
  </si>
  <si>
    <t xml:space="preserve"> L2 Activities: 
- Add servers to the Monitoring(Windows, Linux, Unix, Aix ,NetApp/Metro cluster / CommVault etc...
- Validate the forwarder service 
- Performing troubleshoot data ingestion when the time of data not received to Splunk and also perform Port level troubleshoot. 
- Troubleshoot configuration file issues and service issues 
-  Need to raise RITM for Server access issues 
- Remove Monitoring for the servers</t>
  </si>
  <si>
    <t>Per Request 1 to 20 CI's</t>
  </si>
  <si>
    <t>PMS_WU_8035</t>
  </si>
  <si>
    <t>L3 Monitoring Deployment for In Scope servers</t>
  </si>
  <si>
    <t xml:space="preserve"> L2 and L3 Activities: 
- Add servers to the Monitoring(Windows, Linux, Unix, Aix ,NetApp/Metro cluster / CommVault etc...
- Add URL's to the monitoring 
- Add process and services to the monitoring.                                               
- Validate the forwarder service  
- Performing troubleshoot data ingestion when the time of data not received to Splunk and also perform Port level troubleshoot. 
- Troubleshoot configuration file issues and service issues 
- Configure app based monitoring 
-  Need to raise RITM for Server access issues
- Remove Monitoring for the servers, services and process, Databases, URL's.
- Regular health checks"
- Custom app Integarion 
- Installation configuration of Splunk base apps and Addon based on requirement (ex : AWS / Commvolt)
- Implementing the Script, Text file and log file monitoring wherever its is required.</t>
  </si>
  <si>
    <t>IMS_WU_8033</t>
  </si>
  <si>
    <t>Unix</t>
  </si>
  <si>
    <t>Unix / Linux</t>
  </si>
  <si>
    <t xml:space="preserve">Validate the Request by conducting 21 Days of Scream Period 
Followup to get the scream details (verify whether IINC was raised) 
Raise a DB Decom change if required 
Raising a Decom change for CI's (1 change per CI)
Closing a DB decom / CI Decom Change </t>
  </si>
  <si>
    <t>PMS_WU_8036</t>
  </si>
  <si>
    <t>DOTNET--IIS (New)</t>
  </si>
  <si>
    <t xml:space="preserve">Azure-webhosting
</t>
  </si>
  <si>
    <t>Azure provisioning (Intranet)</t>
  </si>
  <si>
    <r>
      <t xml:space="preserve">
Steps are performed by Middleware WEB 
Setup the webapp / static app in both </t>
    </r>
    <r>
      <rPr>
        <b/>
        <sz val="9"/>
        <rFont val="Arial"/>
        <family val="2"/>
      </rPr>
      <t>UAT</t>
    </r>
    <r>
      <rPr>
        <sz val="9"/>
        <rFont val="Arial"/>
        <family val="2"/>
      </rPr>
      <t xml:space="preserve"> and </t>
    </r>
    <r>
      <rPr>
        <b/>
        <sz val="9"/>
        <rFont val="Arial"/>
        <family val="2"/>
      </rPr>
      <t xml:space="preserve">Prod </t>
    </r>
    <r>
      <rPr>
        <sz val="9"/>
        <rFont val="Arial"/>
        <family val="2"/>
      </rPr>
      <t>environment
Co-ordination Activity: 
Requirement gathering from application teams
Implementation activity : 
Creation of GitHub Teams Creation
Creation of GitHub repo for Web App/Static App
Secret Creation : Publish profile &amp; deployment token setup during the repo creation 
Certificate Provisioning.PKI
DNS update co-ordination with Application &amp; wintel teams(optional)</t>
    </r>
  </si>
  <si>
    <t>Per website</t>
  </si>
  <si>
    <t>PMS_WU_8037</t>
  </si>
  <si>
    <t>ScaleOps-webhosting</t>
  </si>
  <si>
    <t>Scale website provisioning</t>
  </si>
  <si>
    <r>
      <t xml:space="preserve">Steps are performed by Middleware WEB  &amp; cloudops teams
Setup the  scale website in both </t>
    </r>
    <r>
      <rPr>
        <b/>
        <sz val="9"/>
        <rFont val="Arial"/>
        <family val="2"/>
      </rPr>
      <t>UAT</t>
    </r>
    <r>
      <rPr>
        <sz val="9"/>
        <rFont val="Arial"/>
        <family val="2"/>
      </rPr>
      <t xml:space="preserve"> and</t>
    </r>
    <r>
      <rPr>
        <b/>
        <sz val="9"/>
        <rFont val="Arial"/>
        <family val="2"/>
      </rPr>
      <t xml:space="preserve"> Prod</t>
    </r>
    <r>
      <rPr>
        <sz val="9"/>
        <rFont val="Arial"/>
        <family val="2"/>
      </rPr>
      <t xml:space="preserve"> environment
Co-ordination Activity: 
Requirement gathering from application teams
Implementation activity 
Request GitHub ID from vendor
Create Teams and add vendors
Create project in GitHub adding teams 
setup the keypair on GitHub &amp; Openshift
Create the service account and role binding in OpenShift
Create secrets &amp; workflow in GitHub
Create Wiki page for code scanning
Create CloudFront and provision ACM certificate
Request SSL certificate and create public route</t>
    </r>
  </si>
  <si>
    <t>IMS_WU_8034</t>
  </si>
  <si>
    <t>Scale website decommisioning</t>
  </si>
  <si>
    <r>
      <t xml:space="preserve">Steps are performed by Middleware WEB  &amp; cloudops teams
Decommision the Scale website in both </t>
    </r>
    <r>
      <rPr>
        <b/>
        <sz val="9"/>
        <rFont val="Arial"/>
        <family val="2"/>
      </rPr>
      <t xml:space="preserve">UAT </t>
    </r>
    <r>
      <rPr>
        <sz val="9"/>
        <rFont val="Arial"/>
        <family val="2"/>
      </rPr>
      <t>and</t>
    </r>
    <r>
      <rPr>
        <b/>
        <sz val="9"/>
        <rFont val="Arial"/>
        <family val="2"/>
      </rPr>
      <t xml:space="preserve"> Prod</t>
    </r>
    <r>
      <rPr>
        <sz val="9"/>
        <rFont val="Arial"/>
        <family val="2"/>
      </rPr>
      <t xml:space="preserve"> environment
Co-ordination Activity: 
Requirement gathering from application teams
Implementation activity 
Request GitHub ID from vendor
Remove Teams and removing vendors
Remove project in GitHub (Remove secrets &amp; workflow, Wiki page for code scanning)
Remove the keypair on GitHub &amp; Openshift
Remove the service account and role binding in OpenShift
Remove CloudFront
Delete public route</t>
    </r>
  </si>
  <si>
    <t>IMS_WU_8035</t>
  </si>
  <si>
    <t>Azure-webhosting</t>
  </si>
  <si>
    <t>Azure app decommisioning (Intranet) (BAU)</t>
  </si>
  <si>
    <r>
      <t xml:space="preserve">
Steps are performed by Middleware WEB 
Decommision the webapp / static app in both </t>
    </r>
    <r>
      <rPr>
        <b/>
        <sz val="9"/>
        <rFont val="Arial"/>
        <family val="2"/>
      </rPr>
      <t>UAT</t>
    </r>
    <r>
      <rPr>
        <sz val="9"/>
        <rFont val="Arial"/>
        <family val="2"/>
      </rPr>
      <t xml:space="preserve"> and</t>
    </r>
    <r>
      <rPr>
        <b/>
        <sz val="9"/>
        <rFont val="Arial"/>
        <family val="2"/>
      </rPr>
      <t xml:space="preserve"> Prod </t>
    </r>
    <r>
      <rPr>
        <sz val="9"/>
        <rFont val="Arial"/>
        <family val="2"/>
      </rPr>
      <t>environment
Co-ordination Activity: 
Requirement gathering from application teams
Implementation activity : 
Decommision of GitHub Teams 
Decommision of GitHub Repo  for Web App/Static App
Remove the profile &amp; deployment token
DNS entry removal co-ordination with Application &amp; wintel teams (optional)</t>
    </r>
  </si>
  <si>
    <t>IMS_WU_8036</t>
  </si>
  <si>
    <t>Scale website decommisioning (BAU)</t>
  </si>
  <si>
    <r>
      <rPr>
        <sz val="9"/>
        <color theme="1"/>
        <rFont val="Calibri (Corps)"/>
      </rPr>
      <t>IMS_</t>
    </r>
    <r>
      <rPr>
        <sz val="9"/>
        <color theme="1"/>
        <rFont val="Calibri"/>
        <family val="2"/>
        <scheme val="minor"/>
      </rPr>
      <t>WU_8037</t>
    </r>
  </si>
  <si>
    <t>Backup</t>
  </si>
  <si>
    <t>Commvault or Legacy Tool Backup Server Post Migration to new Tool</t>
  </si>
  <si>
    <t xml:space="preserve">Requirement gathering
Coordination with ITS, Network, Proximity and CMDB Team
change creation and all approval </t>
  </si>
  <si>
    <t>IMS_WU_8038</t>
  </si>
  <si>
    <t>Cloud Backup configuration(Azure, AWS &amp; GCP)</t>
  </si>
  <si>
    <t>Identifying the AWS account number or Azure resource group or GCP Project code
check the Metal SLA from AO or requester
Configure the backup as required only for AWS and GCP.
For Azure need to inform to Mobiz</t>
  </si>
  <si>
    <t>https://sanofiservices.service-now.com/onesupport?id=sc_cat_item_guide&amp;table=sc_cat_item&amp;sys_id=f4dc65b0dbf1b7c8bb471923059619ed</t>
  </si>
  <si>
    <t>IMS_WU_8039</t>
  </si>
  <si>
    <t>Commvault Server, Storeonce or any other Backup tool</t>
  </si>
  <si>
    <t>Get the downtime from the stakeholders
check with vendor for the compatibility matrix
Open a proactive case before the change schedule
create change and make sure all approvals are attached.
Implement the upgrade</t>
  </si>
  <si>
    <t>IMS_WU_8040</t>
  </si>
  <si>
    <t>Commvault Server or Bocada Report Creation</t>
  </si>
  <si>
    <t>Report Creation Per site
identify the DL and to list for the Report
make sure all the failures are listed in the Backup Report</t>
  </si>
  <si>
    <t>IMS_WU_8041</t>
  </si>
  <si>
    <t>For any existing application Backup and Restore Test</t>
  </si>
  <si>
    <t>Coordiante with DR and RT team to make sure prechecks are satisfied.
Planning &amp; Coordination
Make sure if any anomaly is there to remediate before the activity
Perform the RT test and provide all the artifacts.</t>
  </si>
  <si>
    <t>Per Application</t>
  </si>
  <si>
    <t>IMS_WU_8042</t>
  </si>
  <si>
    <t>IMS_WU_8045</t>
  </si>
  <si>
    <t>Storeonce or Legacy Storage Decommission Post Migration</t>
  </si>
  <si>
    <t>Requirement gathering
Coordination with ITS, Network, Proximity and CMDB Team
change creation and all approval =&gt; 8H
--------------------------------------------------------------------------
Reporting Deletion,
Modifying existing Storage Policies,
Destroy Existing Config =&gt; 8H 
--------------------------------------------------------------------------
Network Configuration 
Sanitizing and Hyper care monitoring till Data expires =&gt; 8H</t>
  </si>
  <si>
    <t>IMS_WU_8046</t>
  </si>
  <si>
    <t xml:space="preserve">Uninstall Backup agent </t>
  </si>
  <si>
    <t xml:space="preserve">Uninstall Agent 
</t>
  </si>
  <si>
    <t>PMS_WU_8038</t>
  </si>
  <si>
    <t>LACP Configuration for cluster servers</t>
  </si>
  <si>
    <t>Co-ordination Activity:
Requirement gathering from Backup team and Network team.
Implementation Activity:
Finding the vlan of backup devices.
LACP configuration
Switch port configuration.</t>
  </si>
  <si>
    <t>PMS_WU_8039</t>
  </si>
  <si>
    <t>Commvault Master Server Precheck (Primary or Failover)</t>
  </si>
  <si>
    <t>Implementation Activity:
Capcity planing 
Check the compatibility 
.Net frimwork
Server Configuration
Check Standard SOP
Defining new name
VLAN and Network Data Flow</t>
  </si>
  <si>
    <t>PMS_WU_8040</t>
  </si>
  <si>
    <t>Commvault Master Server installation(Primary)</t>
  </si>
  <si>
    <t>Implementation Activity:
Download the software
.net firmwork installation
Install Master Server &amp; Hotfix
Add the new licenses file 
Configure the Server(SMTP,Drbackup path &amp; SQL db)</t>
  </si>
  <si>
    <t>PMS_WU_8041</t>
  </si>
  <si>
    <t>Commvault Master Server installation(Failover)</t>
  </si>
  <si>
    <t>Implementation Activity:
Download the software
.Net frimwork
Enable the MultiInstances
Install CommServe Failover package &amp; Hotfix
Configure the Serverfailover server .</t>
  </si>
  <si>
    <t>PMS_WU_8042</t>
  </si>
  <si>
    <t>Web Server and Command Center in Different server</t>
  </si>
  <si>
    <t>Implementation Activity:
Download the software
Requirement gathering .
Install IIS &amp; .net
Firewall ports
Configuration</t>
  </si>
  <si>
    <t>PMS_WU_8043</t>
  </si>
  <si>
    <t>Commvault Media Server Provisioning</t>
  </si>
  <si>
    <t xml:space="preserve">Implementation Activity:
Check the compatibility 
Download the software
Define new name
VLAN and Network Data Flow
</t>
  </si>
  <si>
    <t>PMS_WU_8044</t>
  </si>
  <si>
    <t>Commvault Media Server Deployment</t>
  </si>
  <si>
    <t xml:space="preserve">Install the MA angent based name
DNS request, Storage and MA configuration for each Storeonce Catalyst 6 H
-------------------------------------------------
Monitoring setup and reporting for each site 2h
</t>
  </si>
  <si>
    <t>PMS_WU_8045</t>
  </si>
  <si>
    <t>Storeonce Deployement &amp; Configuration</t>
  </si>
  <si>
    <t>Initial Configuration
SNMP and Splunk setup =&gt;5,5h
-------------------------------------------------------------------
DNS Request
Network configuration &amp; Troubleshooting =&gt; 8H
-------------------------------------------------------------------
Catalyst Creation and Configuration for 1st time=&gt; 4H</t>
  </si>
  <si>
    <t>PMS_WU_8046</t>
  </si>
  <si>
    <t>Physical Server Bakcup deployement</t>
  </si>
  <si>
    <t xml:space="preserve">Agent Installation
Check Port Open &amp; ENC
Planning of Schedule
Exclusion Policy
Capacity </t>
  </si>
  <si>
    <t>PMS_WU_8047</t>
  </si>
  <si>
    <t>Installation Qualification(IQ) for any new Backup infra setup</t>
  </si>
  <si>
    <t>Storeonce =&gt; 5H
--------------------------------------
Media Server =&gt;2,5 H</t>
  </si>
  <si>
    <t>PMS_WU_8051</t>
  </si>
  <si>
    <t>IICS</t>
  </si>
  <si>
    <t>Deploying IICS Assets across the Orgs</t>
  </si>
  <si>
    <t>Depolying IICS Assets from one org to another and tunning</t>
  </si>
  <si>
    <t>PMS_WU_8048</t>
  </si>
  <si>
    <t>Acronis Server Initial Setup &amp; Configuration</t>
  </si>
  <si>
    <t>Download the software
Defining new name
Installation of software
license addition
CIFS Share mapping
Storage Policy and initial configuration Setup
User group and Policy creation and Monitoring Setup</t>
  </si>
  <si>
    <t>IMS_WU_8043</t>
  </si>
  <si>
    <t>Installation of Bug Jars and Testing it across the Platform</t>
  </si>
  <si>
    <t>Appling the bug fix provided by informatica vendor and perform inhouse testing</t>
  </si>
  <si>
    <t>PMS_WU_8049</t>
  </si>
  <si>
    <t>Backup Device Movement from One DC to to Another or Shrink</t>
  </si>
  <si>
    <t>Plan and Coordinate with Site Team
Create &amp; Schedule the change
Create a Blackout window for avoiding the tickets.
Suspend All Scheduled Backups and Adhoc jobs using the infra
Stop the commvault services on Media &amp; Master server
Shutdown the commvault media servers and Storeonce.
Phyisical movement of the above servers and devices.
Start the commvault servers and Storeonce device and make sure all the services are up.
Resume all the suspended jobs and adhoc ones.
Remove the Blackout of creating tickets</t>
  </si>
  <si>
    <t>PMS_WU_8050</t>
  </si>
  <si>
    <t>PMS_WU_8052</t>
  </si>
  <si>
    <t xml:space="preserve">Storeonce Configuration </t>
  </si>
  <si>
    <t>Implementation Activity:
- Planning and Discussion with Site =&gt; 2H
-------------------------------------------------
- ENC Request Raise and following up with site team to give proper justification =&gt; 8H
-------------------------------------------------
- VLAN and Upgradation =&gt; 6H</t>
  </si>
  <si>
    <t>PMS_WU_8053</t>
  </si>
  <si>
    <t>Acronis server Installation &amp; Network configuration</t>
  </si>
  <si>
    <t>Hardware and OS install by Server teams
Check the compatibility 
VLAN /network check 
ENC check with Target Store
CIFS Share Creation</t>
  </si>
  <si>
    <t>PMS_WU_8054</t>
  </si>
  <si>
    <t>Assessment for New site</t>
  </si>
  <si>
    <t>CMDB Check
Backup Policy Check
Discussion with Site =&gt; 8H
-----------------------------------------------------------------
Network Assessment of Data flow and understanding of new requirement =&gt;8H</t>
  </si>
  <si>
    <t>PMS_WU_8055</t>
  </si>
  <si>
    <t>On Prem to Netapp CVO Volume Migration</t>
  </si>
  <si>
    <t>Discussion and Planning of Capacity
SnapMirror and Sanpvault license check
Netapp Services check (RPC,NFS..etc)
Peering check in AIQUM side
ENC Request
Configuration of onPrem and CVO
Storage Policy Creation
Monitoring and HyperCare troubleshooting</t>
  </si>
  <si>
    <t>Per FS\Volume</t>
  </si>
  <si>
    <t>PMS_WU_8056</t>
  </si>
  <si>
    <t>Physical Server From Legacy Backup Tool to New Tool</t>
  </si>
  <si>
    <t xml:space="preserve">Image Backup
ENC request 
VLAN Network check 
Storage policy creation
-------------------------------------------
Agent Installation
Check Port Open
Planning of Schedule
Storage policy creation
Exclusion Policy
</t>
  </si>
  <si>
    <t>IMS_WU_8044</t>
  </si>
  <si>
    <t>MDM</t>
  </si>
  <si>
    <t>Deploying Ear files on the JBOSS Server across env</t>
  </si>
  <si>
    <t>Appling the bug fix provided by informatica vendorfor MDM  and perform inhouse testing</t>
  </si>
  <si>
    <t>PMS_WU_8057</t>
  </si>
  <si>
    <t>Virtual Server From Legacy Backup Tool to New Tool</t>
  </si>
  <si>
    <t>PMS_WU_8058</t>
  </si>
  <si>
    <t xml:space="preserve">PREPARATION OF TRP Document for first TRP document preparation or because of migration to cloud ONLY 
</t>
  </si>
  <si>
    <t>For new application or Post Migration to Cloud
Planning &amp; Coordination
Discussion with application owner
ENC or troubleshooting if required
Feasibility Check</t>
  </si>
  <si>
    <t>PMS_WU_8059</t>
  </si>
  <si>
    <t xml:space="preserve">Create Oracle DB on existing RHEL server - M&amp;S Cluster </t>
  </si>
  <si>
    <t>Co-ordination Activity: 
Requirement gathering from application teams
Implementation activity : 
Storage &amp; Unix :
- Meeting with the PTC  
- Define the IP address          
- Provide storage to the cluster         
- discover lun / Multipathing with Storage team 
- Create FS (File system) on Linux Cluster
- Create resource and resource group on Linux 
Cluster  
Oracle 
- Install Oracel binaries 
- Check Oracle prerequisite
- Create Oracle Database / CDB
- Install Oracle PDB
- Add the database on the grid/OEM- for OEM 
- Integrate Oracle database
- Running QI documents                             
- HA Test along with Application team</t>
  </si>
  <si>
    <t>per database</t>
  </si>
  <si>
    <t>V2.0</t>
  </si>
  <si>
    <t>PMS_WU_8060</t>
  </si>
  <si>
    <t xml:space="preserve">New Vlan Creation  </t>
  </si>
  <si>
    <t>Config. Preparation
Get Network L4, Cyber Sec. approvals
Implementation activity Pre-backup (Firewall &amp; Network devices - Network Data &amp; sec team)VLAN creation/ Static route /Interface creation (Firewall &amp; Network devices - Network Data &amp; sec team)WAN AdvertisementDHCP scopePost-backup (Firewall &amp; Network devices - Network Data &amp; sec team)Post validation (4 Eye check)(Firewall &amp; Network devices - Network Data &amp; sec team)Interface assignment and Analysis in Algosec Tool (Firewall - Network Sec team)closing change</t>
  </si>
  <si>
    <t>Max 3 Vlans Per site ( Separate request for different site )</t>
  </si>
  <si>
    <t>PMS_WU_8061</t>
  </si>
  <si>
    <t>Database Migration (Simple - less than 100 GB)</t>
  </si>
  <si>
    <t>L3 Activities: 
Plan A: Migrate using Export/Import (traditional export/Datapump)
- Create database in target host -2
- Take backup and apply the backup in target database 2
Plan B: Migrate using RMAN Backup 
- Create database instance in target server -2 
- Apply the backup in the target database -2</t>
  </si>
  <si>
    <t>PMS_WU_8062</t>
  </si>
  <si>
    <t>Database Migration (Medium - between 101  GB to 500 GB )</t>
  </si>
  <si>
    <t>PMS_WU_8063</t>
  </si>
  <si>
    <t>Database Migration (Complex - between 501 GB to 2 TB )</t>
  </si>
  <si>
    <t>IMS_WU_8047</t>
  </si>
  <si>
    <t xml:space="preserve">Oracle </t>
  </si>
  <si>
    <t>Oracle DB Decom</t>
  </si>
  <si>
    <t>Co-ordination Activity: 
Pre-requisite is to check if Application owner approval mail or SRP document is attached in the change to proceed futher
Implementation activity : 10hrs (7 hrs effort for database related works + 3 hrs for other team works)
1.we have to check whether mentioned oracle instance running or not 
2.remove database from OEM if it is existing
3.Database will be shutdown and it will be under scream period for 7days
4.Unregister database from RMAN recovery catalog
5.decommission the database and modify the oratab file 
6.remove (sys and system) account for database from bastion portal if existing
7.remove from OID 
8.validation task 
Note : Incase of RAC,Dataguard we have to decommission database from both nodes
***Action from other team members for decommissioning task*****
1.Remove database related jobs to be removed from the control m / VTOM.
2.Remove Database from monitoring via splunk
3.Remove the Cluster configuration and disable
4.Remove File system attached to the database if existing after drop database
5.Update CMDB accordingly</t>
  </si>
  <si>
    <t>10 (Incl 7 days of Scream test)</t>
  </si>
  <si>
    <t>PMS_WU_8064</t>
  </si>
  <si>
    <t>DB</t>
  </si>
  <si>
    <t>Oracle database Schema Creation</t>
  </si>
  <si>
    <t xml:space="preserve">Co-ordination Activity:
Creation of Tablespace for the schema.
Create Schema
Provide necessary grants to the schema
</t>
  </si>
  <si>
    <t>PMS_WU_8065</t>
  </si>
  <si>
    <t>Disaster Recovery First Execution</t>
  </si>
  <si>
    <t xml:space="preserve">DR 12c/RAC First Execution /  testing </t>
  </si>
  <si>
    <t>Prechecks 
Check whether Prod and DR database are in sync
Check for database backup have completed before start of the DR activity. 
Implementation
Switch over to the DR database. 
After application team testing is completed. 
Switch back db to Actual prod database
Post Check
Check database backup is completing it successfully.</t>
  </si>
  <si>
    <t>PMS_WU_8066</t>
  </si>
  <si>
    <t xml:space="preserve">RMAN backup setting for Database </t>
  </si>
  <si>
    <t xml:space="preserve">
Pre requisite:
Get l3scripts/l3logs mounted if not already done (UNIX)
DB should be configured at commvault end.
Port for Commvault and control-M should be open.
Activity breakup:
Create a backup user,tablespace,  profile in the CDB 
Register the database in recovery catalog
Create rman.conf file
Register DB in recovery catalog
Test the archivelog/full/incremental backup
</t>
  </si>
  <si>
    <t>NA</t>
  </si>
  <si>
    <t>PMS_WU_8067</t>
  </si>
  <si>
    <t>Backup / Restore Test First execution</t>
  </si>
  <si>
    <t xml:space="preserve">First exection of DB Backup / Restore Test  </t>
  </si>
  <si>
    <t>Backup and restore
Check whether both source and target database are getting backup regularly
Check required backup completed successfully
Take required backup on target database before restore start.
Restore database 
Make sure required backup is restored and get conformation from application team.
If required rollback target database with its own backup</t>
  </si>
  <si>
    <t>https://sanofiservices.service-now.com/onesupport?id=request_order_guide&amp;sys_id=8ef52e074f098fc4cb48c0428110c701</t>
  </si>
  <si>
    <t>PMS_WU_8068</t>
  </si>
  <si>
    <t xml:space="preserve">DB Upgrade </t>
  </si>
  <si>
    <t>Download/Copy the patch/unzip
Perform Prechceks /fix any issues
Bringdown DB and Listener
Apply the patch
Bring up DB/listener -
Run Post patch scripts
Validate DB's/remote connectivity</t>
  </si>
  <si>
    <t>PMS_WU_8069</t>
  </si>
  <si>
    <t>Azure VM Provisioning - IAAS</t>
  </si>
  <si>
    <t>Includes Environment Validation, Resources Validation, Subscription Validation, host name validation (subnet / vnet)	45 mins
Terraform Script  configuration - 1 hr
AWX Job monitoring - 	15 mins
Health Checks and validations	30 mins
Addl tech team co-ordination - 1.5 hrs (20%)</t>
  </si>
  <si>
    <t>V2.2</t>
  </si>
  <si>
    <t>PMS_WU_8070</t>
  </si>
  <si>
    <t>Unix/Linux</t>
  </si>
  <si>
    <t xml:space="preserve">Azure VM Provisioning-IAAS </t>
  </si>
  <si>
    <t>Includes Environment Validation, Resources Validation, Subscription Validation, host name validation	45 mins
Terraform Script  configuration - 1 hr
AWX Job monitoring - 	15 mins
Post Health Checks and validations	30 mins 
Addl tech team co-ordination - 1.5 hrs (20%)</t>
  </si>
  <si>
    <t>PMS_WU_7013</t>
  </si>
  <si>
    <t>Activity Break-up Details</t>
  </si>
  <si>
    <t>Date of Deletion</t>
  </si>
  <si>
    <t>PMS_WU_0099</t>
  </si>
  <si>
    <t xml:space="preserve">BWIP new website creation. Platform is available new sites are created. </t>
  </si>
  <si>
    <t xml:space="preserve">Implementation Activities: 
Steps to be performed By DOTNET team
Execution steps performed by DOTNET team. 
1. Site creation in all 3 environments DEV, STAG, PROD. 
2. SFTP user id creation
3. REPLIWEB user id creation. 
4. REPLIWEB job creation. 
5. Google search profile creation in GSA. 
6. Brand Website monitoring enablement from https://redalert.keynote.com/redalert/   
7. Creation of new certificate for the site. </t>
  </si>
  <si>
    <t>PMS_WU_0100</t>
  </si>
  <si>
    <t xml:space="preserve">INTRANET new website creation. Platform is available new sites are created. </t>
  </si>
  <si>
    <t>Implementation Activities: 
Execution steps performed by DOTNET team. 
1. Site creation in all 3 environements DEV, STAG, PROD.  - 3
2. REPLIWEB user id creation.  0.5
3. REPLIWEB job creation.  0.5
4. Google search profile creation in GSA. 0.5</t>
  </si>
  <si>
    <t>Count of IMS/PMS</t>
  </si>
  <si>
    <t>Grand Total</t>
  </si>
  <si>
    <t>PMS_WU_7002</t>
  </si>
  <si>
    <t>(All)</t>
  </si>
  <si>
    <t>IMS_WU_8037</t>
  </si>
  <si>
    <t>Virtual Directory-  Version Upgrade ( CTS Scope may be OS Upgrade and support vendor in installation and tool configuration)</t>
  </si>
  <si>
    <t xml:space="preserve">VM Server Build perimeter NGDC + AWS + GCP ( Cloud)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</si>
</sst>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 &quot;€&quot;_-;\-* #,##0.00\ &quot;€&quot;_-;_-* &quot;-&quot;??\ &quot;€&quot;_-;_-@_-"/>
    <numFmt numFmtId="165" formatCode="#,##0.00\ &quot;€&quot;"/>
    <numFmt numFmtId="166" formatCode="_(* #,##0_);_(* \(#,##0\);_(* &quot;-&quot;??_);_(@_)"/>
  </numFmts>
  <fonts count="27">
    <font>
      <sz val="11"/>
      <color theme="1"/>
      <name val="Calibri"/>
      <family val="2"/>
      <scheme val="minor"/>
    </font>
    <font>
      <sz val="9"/>
      <name val="Calibri"/>
      <family val="2"/>
      <scheme val="minor"/>
    </font>
    <font>
      <b/>
      <sz val="9"/>
      <name val="Franklin Gothic Book"/>
      <family val="2"/>
    </font>
    <font>
      <sz val="8"/>
      <name val="Calibri"/>
      <family val="2"/>
      <scheme val="minor"/>
    </font>
    <font>
      <sz val="11"/>
      <color theme="1"/>
      <name val="Calibri"/>
      <family val="2"/>
      <scheme val="minor"/>
    </font>
    <font>
      <sz val="9"/>
      <color indexed="81"/>
      <name val="Tahoma"/>
      <family val="2"/>
    </font>
    <font>
      <b/>
      <sz val="9"/>
      <color indexed="81"/>
      <name val="Tahoma"/>
      <family val="2"/>
    </font>
    <font>
      <b/>
      <sz val="15"/>
      <color theme="3"/>
      <name val="Calibri"/>
      <family val="2"/>
      <scheme val="minor"/>
    </font>
    <font>
      <b/>
      <sz val="11"/>
      <color theme="1"/>
      <name val="Calibri"/>
      <family val="2"/>
      <scheme val="minor"/>
    </font>
    <font>
      <sz val="11"/>
      <color theme="8"/>
      <name val="Calibri"/>
      <family val="2"/>
      <scheme val="minor"/>
    </font>
    <font>
      <b/>
      <sz val="11"/>
      <color rgb="FFC00000"/>
      <name val="Calibri"/>
      <family val="2"/>
      <scheme val="minor"/>
    </font>
    <font>
      <u/>
      <sz val="11"/>
      <color theme="10"/>
      <name val="Calibri"/>
      <family val="2"/>
      <scheme val="minor"/>
    </font>
    <font>
      <sz val="9"/>
      <color theme="1"/>
      <name val="Calibri"/>
      <family val="2"/>
      <scheme val="minor"/>
    </font>
    <font>
      <sz val="9"/>
      <color theme="0"/>
      <name val="Calibri"/>
      <family val="2"/>
      <scheme val="minor"/>
    </font>
    <font>
      <b/>
      <sz val="11"/>
      <color theme="1"/>
      <name val="Calibri"/>
      <family val="2"/>
    </font>
    <font>
      <b/>
      <sz val="16"/>
      <color theme="1"/>
      <name val="Calibri"/>
      <family val="2"/>
      <scheme val="minor"/>
    </font>
    <font>
      <b/>
      <sz val="9"/>
      <color rgb="FF000000"/>
      <name val="Tahoma"/>
      <family val="2"/>
    </font>
    <font>
      <sz val="9"/>
      <color rgb="FF000000"/>
      <name val="Tahoma"/>
      <family val="2"/>
    </font>
    <font>
      <sz val="9"/>
      <color theme="1"/>
      <name val="Cambria"/>
      <family val="1"/>
    </font>
    <font>
      <i/>
      <sz val="9"/>
      <color theme="1"/>
      <name val="Cambria"/>
      <family val="1"/>
    </font>
    <font>
      <sz val="9"/>
      <name val="Arial"/>
      <family val="2"/>
    </font>
    <font>
      <sz val="9"/>
      <color theme="1"/>
      <name val="Arial"/>
      <family val="2"/>
    </font>
    <font>
      <b/>
      <sz val="9"/>
      <name val="Arial"/>
      <family val="2"/>
    </font>
    <font>
      <sz val="9"/>
      <color rgb="FFFF0000"/>
      <name val="Calibri (Corps)"/>
    </font>
    <font>
      <sz val="9"/>
      <color theme="1"/>
      <name val="Calibri (Corps)"/>
    </font>
    <font>
      <u/>
      <sz val="9"/>
      <color theme="10"/>
      <name val="Calibri"/>
      <family val="2"/>
      <scheme val="minor"/>
    </font>
    <font>
      <b/>
      <sz val="9"/>
      <name val="Calibri"/>
      <family val="2"/>
      <scheme val="minor"/>
    </font>
  </fonts>
  <fills count="10">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9" tint="-0.249977111117893"/>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tint="-0.34998626667073579"/>
        <bgColor indexed="64"/>
      </patternFill>
    </fill>
    <fill>
      <patternFill patternType="solid">
        <fgColor theme="1" tint="0.14999847407452621"/>
        <bgColor indexed="64"/>
      </patternFill>
    </fill>
    <fill>
      <patternFill patternType="solid">
        <fgColor theme="4"/>
        <bgColor theme="4"/>
      </patternFill>
    </fill>
  </fills>
  <borders count="14">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ck">
        <color theme="0"/>
      </bottom>
      <diagonal/>
    </border>
    <border>
      <left style="thin">
        <color theme="0"/>
      </left>
      <right style="thin">
        <color indexed="64"/>
      </right>
      <top style="thin">
        <color indexed="64"/>
      </top>
      <bottom style="thick">
        <color theme="0"/>
      </bottom>
      <diagonal/>
    </border>
    <border>
      <left style="thin">
        <color indexed="64"/>
      </left>
      <right style="thin">
        <color theme="0"/>
      </right>
      <top style="thin">
        <color indexed="64"/>
      </top>
      <bottom style="thick">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indexed="64"/>
      </right>
      <top style="thin">
        <color indexed="64"/>
      </top>
      <bottom style="thick">
        <color theme="0"/>
      </bottom>
      <diagonal/>
    </border>
  </borders>
  <cellStyleXfs count="5">
    <xf numFmtId="0" fontId="0" fillId="0" borderId="0"/>
    <xf numFmtId="0" fontId="7" fillId="0" borderId="5" applyNumberFormat="0" applyFill="0" applyAlignment="0" applyProtection="0"/>
    <xf numFmtId="0" fontId="11" fillId="0" borderId="0" applyNumberFormat="0" applyFill="0" applyBorder="0" applyAlignment="0" applyProtection="0"/>
    <xf numFmtId="164" fontId="4" fillId="0" borderId="0" applyFont="0" applyFill="0" applyBorder="0" applyAlignment="0" applyProtection="0"/>
    <xf numFmtId="164" fontId="4" fillId="0" borderId="0" applyFont="0" applyFill="0" applyBorder="0" applyAlignment="0" applyProtection="0"/>
  </cellStyleXfs>
  <cellXfs count="80">
    <xf numFmtId="0" fontId="0" fillId="0" borderId="0" xfId="0"/>
    <xf numFmtId="0" fontId="1" fillId="0" borderId="0" xfId="0" applyFont="1" applyAlignment="1">
      <alignment horizontal="left" vertical="center"/>
    </xf>
    <xf numFmtId="0" fontId="1" fillId="0" borderId="0" xfId="0" applyFont="1" applyAlignment="1">
      <alignment horizontal="center" vertical="center"/>
    </xf>
    <xf numFmtId="0" fontId="0" fillId="0" borderId="0" xfId="0" applyAlignment="1">
      <alignment wrapText="1"/>
    </xf>
    <xf numFmtId="0" fontId="1" fillId="0" borderId="0" xfId="0" applyFont="1" applyAlignment="1">
      <alignment horizontal="left" vertical="center" wrapText="1"/>
    </xf>
    <xf numFmtId="0" fontId="8" fillId="0" borderId="0" xfId="0" applyFont="1"/>
    <xf numFmtId="0" fontId="9" fillId="0" borderId="0" xfId="0" applyFont="1"/>
    <xf numFmtId="0" fontId="9" fillId="0" borderId="0" xfId="0" applyFont="1" applyAlignment="1">
      <alignment wrapText="1"/>
    </xf>
    <xf numFmtId="0" fontId="10" fillId="0" borderId="0" xfId="0" applyFont="1" applyAlignment="1">
      <alignment horizontal="right" vertical="center"/>
    </xf>
    <xf numFmtId="0" fontId="8" fillId="0" borderId="0" xfId="0" applyFont="1" applyAlignment="1">
      <alignment vertical="center"/>
    </xf>
    <xf numFmtId="0" fontId="9" fillId="0" borderId="0" xfId="0" applyFont="1" applyAlignment="1">
      <alignment horizontal="right" vertical="center"/>
    </xf>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3" fillId="4" borderId="0" xfId="0" applyFont="1" applyFill="1" applyAlignment="1">
      <alignment horizontal="left" vertical="center"/>
    </xf>
    <xf numFmtId="0" fontId="13" fillId="4" borderId="0" xfId="0" applyFont="1" applyFill="1" applyAlignment="1">
      <alignment horizontal="left" vertical="center" wrapText="1"/>
    </xf>
    <xf numFmtId="0" fontId="14" fillId="0" borderId="0" xfId="0" applyFont="1"/>
    <xf numFmtId="0" fontId="15" fillId="0" borderId="0" xfId="0" applyFont="1" applyAlignment="1">
      <alignment horizontal="center" vertical="center"/>
    </xf>
    <xf numFmtId="0" fontId="0" fillId="0" borderId="0" xfId="0" applyAlignment="1">
      <alignment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horizontal="center"/>
    </xf>
    <xf numFmtId="0" fontId="1" fillId="0" borderId="0" xfId="0" applyFont="1" applyAlignment="1">
      <alignment horizontal="center" vertical="center" wrapText="1"/>
    </xf>
    <xf numFmtId="0" fontId="1" fillId="2" borderId="0" xfId="0" applyFont="1" applyFill="1" applyAlignment="1">
      <alignment horizontal="center" vertical="center"/>
    </xf>
    <xf numFmtId="165" fontId="1" fillId="2" borderId="0" xfId="0" applyNumberFormat="1" applyFont="1" applyFill="1" applyAlignment="1">
      <alignment horizontal="center" vertical="center"/>
    </xf>
    <xf numFmtId="0" fontId="2" fillId="7" borderId="2" xfId="0" applyFont="1" applyFill="1" applyBorder="1" applyAlignment="1">
      <alignment horizontal="left" vertical="center" wrapText="1"/>
    </xf>
    <xf numFmtId="0" fontId="2" fillId="7" borderId="3" xfId="0" applyFont="1" applyFill="1" applyBorder="1" applyAlignment="1">
      <alignment horizontal="left" vertical="center" wrapText="1"/>
    </xf>
    <xf numFmtId="0" fontId="2" fillId="7" borderId="2" xfId="0" applyFont="1" applyFill="1" applyBorder="1" applyAlignment="1">
      <alignment horizontal="left" vertical="center"/>
    </xf>
    <xf numFmtId="0" fontId="2" fillId="7" borderId="4" xfId="0" applyFont="1" applyFill="1" applyBorder="1" applyAlignment="1">
      <alignment horizontal="left" vertical="center" wrapText="1"/>
    </xf>
    <xf numFmtId="0" fontId="2" fillId="7" borderId="4" xfId="0" applyFont="1" applyFill="1" applyBorder="1" applyAlignment="1">
      <alignment horizontal="left" vertical="center"/>
    </xf>
    <xf numFmtId="0" fontId="2" fillId="7" borderId="1" xfId="0" applyFont="1" applyFill="1" applyBorder="1" applyAlignment="1">
      <alignment horizontal="center" vertical="center" wrapText="1"/>
    </xf>
    <xf numFmtId="0" fontId="1" fillId="2" borderId="0" xfId="0" applyFont="1" applyFill="1" applyAlignment="1">
      <alignment horizontal="center" vertical="center" wrapText="1"/>
    </xf>
    <xf numFmtId="14" fontId="1" fillId="0" borderId="0" xfId="0" applyNumberFormat="1" applyFont="1" applyAlignment="1">
      <alignment horizontal="left" vertical="center"/>
    </xf>
    <xf numFmtId="0" fontId="1" fillId="5" borderId="6" xfId="0" applyFont="1" applyFill="1" applyBorder="1" applyAlignment="1">
      <alignment horizontal="left" vertical="center"/>
    </xf>
    <xf numFmtId="14" fontId="1" fillId="5" borderId="6" xfId="0" applyNumberFormat="1" applyFont="1" applyFill="1" applyBorder="1" applyAlignment="1">
      <alignment horizontal="left" vertical="center"/>
    </xf>
    <xf numFmtId="0" fontId="13" fillId="4" borderId="0" xfId="0" applyFont="1" applyFill="1" applyAlignment="1">
      <alignment horizontal="center" vertical="center"/>
    </xf>
    <xf numFmtId="165" fontId="1" fillId="0" borderId="0" xfId="0" applyNumberFormat="1" applyFont="1" applyAlignment="1">
      <alignment horizontal="center" vertical="center"/>
    </xf>
    <xf numFmtId="165" fontId="2" fillId="7" borderId="1" xfId="0" applyNumberFormat="1" applyFont="1" applyFill="1" applyBorder="1" applyAlignment="1">
      <alignment horizontal="center" vertical="center" wrapText="1"/>
    </xf>
    <xf numFmtId="15" fontId="1" fillId="0" borderId="0" xfId="0" applyNumberFormat="1" applyFont="1" applyAlignment="1">
      <alignment horizontal="left" vertical="center" wrapText="1"/>
    </xf>
    <xf numFmtId="0" fontId="7" fillId="0" borderId="5" xfId="1" applyAlignment="1">
      <alignment horizontal="left"/>
    </xf>
    <xf numFmtId="165" fontId="2" fillId="0" borderId="4" xfId="0" applyNumberFormat="1" applyFont="1" applyBorder="1" applyAlignment="1">
      <alignment horizontal="left" vertical="center" wrapText="1" indent="1"/>
    </xf>
    <xf numFmtId="0" fontId="1" fillId="8" borderId="0" xfId="0" applyFont="1" applyFill="1" applyAlignment="1">
      <alignment horizontal="left" vertical="center"/>
    </xf>
    <xf numFmtId="0" fontId="13" fillId="0" borderId="0" xfId="0" applyFont="1" applyAlignment="1">
      <alignment horizontal="center" vertical="center"/>
    </xf>
    <xf numFmtId="0" fontId="0" fillId="0" borderId="0" xfId="0" pivotButton="1"/>
    <xf numFmtId="166" fontId="0" fillId="0" borderId="0" xfId="0" applyNumberFormat="1"/>
    <xf numFmtId="0" fontId="1" fillId="6" borderId="6" xfId="0" applyFont="1" applyFill="1" applyBorder="1" applyAlignment="1">
      <alignment horizontal="left" vertical="center"/>
    </xf>
    <xf numFmtId="0" fontId="2" fillId="0" borderId="4" xfId="0" applyFont="1" applyBorder="1" applyAlignment="1">
      <alignment horizontal="left" vertical="center" wrapText="1" indent="1"/>
    </xf>
    <xf numFmtId="0" fontId="12" fillId="0" borderId="0" xfId="0" applyFont="1"/>
    <xf numFmtId="0" fontId="12" fillId="0" borderId="0" xfId="0" applyFont="1" applyAlignment="1">
      <alignment wrapText="1"/>
    </xf>
    <xf numFmtId="0" fontId="12" fillId="0" borderId="0" xfId="0" applyFont="1" applyAlignment="1">
      <alignment horizontal="center"/>
    </xf>
    <xf numFmtId="0" fontId="12" fillId="0" borderId="0" xfId="0" applyFont="1" applyAlignment="1">
      <alignment horizontal="center" vertical="center"/>
    </xf>
    <xf numFmtId="0" fontId="12" fillId="0" borderId="0" xfId="0" applyFont="1" applyAlignment="1">
      <alignment horizontal="center" vertical="center" wrapText="1"/>
    </xf>
    <xf numFmtId="165" fontId="12" fillId="0" borderId="0" xfId="0" applyNumberFormat="1" applyFont="1" applyAlignment="1">
      <alignment horizontal="center"/>
    </xf>
    <xf numFmtId="0" fontId="12" fillId="7" borderId="0" xfId="0" applyFont="1" applyFill="1" applyAlignment="1">
      <alignment wrapText="1"/>
    </xf>
    <xf numFmtId="0" fontId="25" fillId="0" borderId="0" xfId="2" applyFont="1" applyBorder="1" applyAlignment="1">
      <alignment horizontal="left" vertical="center" wrapText="1"/>
    </xf>
    <xf numFmtId="0" fontId="12" fillId="3" borderId="0" xfId="0" applyFont="1" applyFill="1"/>
    <xf numFmtId="0" fontId="2" fillId="7" borderId="9" xfId="0" applyFont="1" applyFill="1" applyBorder="1" applyAlignment="1">
      <alignment horizontal="left" vertical="center"/>
    </xf>
    <xf numFmtId="0" fontId="2" fillId="7" borderId="7" xfId="0" applyFont="1" applyFill="1" applyBorder="1" applyAlignment="1">
      <alignment horizontal="left" vertical="center"/>
    </xf>
    <xf numFmtId="0" fontId="1" fillId="2" borderId="6" xfId="0" applyFont="1" applyFill="1" applyBorder="1" applyAlignment="1">
      <alignment horizontal="left" vertical="center"/>
    </xf>
    <xf numFmtId="0" fontId="1" fillId="5" borderId="6" xfId="0" applyFont="1" applyFill="1" applyBorder="1" applyAlignment="1">
      <alignment horizontal="center" vertical="center"/>
    </xf>
    <xf numFmtId="165" fontId="1" fillId="5" borderId="6" xfId="0" applyNumberFormat="1" applyFont="1" applyFill="1" applyBorder="1" applyAlignment="1">
      <alignment horizontal="center" vertical="center"/>
    </xf>
    <xf numFmtId="0" fontId="1" fillId="8" borderId="6" xfId="0" applyFont="1" applyFill="1" applyBorder="1" applyAlignment="1">
      <alignment horizontal="left" vertical="center"/>
    </xf>
    <xf numFmtId="0" fontId="1" fillId="5" borderId="12" xfId="0" applyFont="1" applyFill="1" applyBorder="1" applyAlignment="1">
      <alignment horizontal="left" vertical="center"/>
    </xf>
    <xf numFmtId="0" fontId="2" fillId="7" borderId="8" xfId="0" applyFont="1" applyFill="1" applyBorder="1" applyAlignment="1">
      <alignment horizontal="left" vertical="center"/>
    </xf>
    <xf numFmtId="0" fontId="2" fillId="7" borderId="8" xfId="0" applyFont="1" applyFill="1" applyBorder="1" applyAlignment="1">
      <alignment horizontal="left"/>
    </xf>
    <xf numFmtId="0" fontId="2" fillId="7" borderId="10" xfId="0" applyFont="1" applyFill="1" applyBorder="1" applyAlignment="1">
      <alignment horizontal="center" vertical="center"/>
    </xf>
    <xf numFmtId="165" fontId="2" fillId="7" borderId="10" xfId="0" applyNumberFormat="1" applyFont="1" applyFill="1" applyBorder="1" applyAlignment="1">
      <alignment horizontal="center" vertical="center"/>
    </xf>
    <xf numFmtId="165" fontId="2" fillId="9" borderId="7" xfId="0" applyNumberFormat="1" applyFont="1" applyFill="1" applyBorder="1" applyAlignment="1">
      <alignment horizontal="left" vertical="center"/>
    </xf>
    <xf numFmtId="0" fontId="2" fillId="9" borderId="7" xfId="0" applyFont="1" applyFill="1" applyBorder="1" applyAlignment="1">
      <alignment horizontal="left" vertical="center"/>
    </xf>
    <xf numFmtId="0" fontId="1" fillId="2" borderId="6" xfId="0" applyFont="1" applyFill="1" applyBorder="1" applyAlignment="1">
      <alignment horizontal="center" vertical="center"/>
    </xf>
    <xf numFmtId="0" fontId="25" fillId="5" borderId="6" xfId="0" applyFont="1" applyFill="1" applyBorder="1" applyAlignment="1">
      <alignment horizontal="left" vertical="center"/>
    </xf>
    <xf numFmtId="14" fontId="0" fillId="0" borderId="0" xfId="0" applyNumberFormat="1"/>
    <xf numFmtId="0" fontId="2" fillId="7" borderId="13" xfId="0" applyFont="1" applyFill="1" applyBorder="1" applyAlignment="1">
      <alignment horizontal="left" vertical="center"/>
    </xf>
    <xf numFmtId="0" fontId="1" fillId="5" borderId="11" xfId="0" applyFont="1" applyFill="1" applyBorder="1" applyAlignment="1">
      <alignment horizontal="left" vertical="center"/>
    </xf>
    <xf numFmtId="14" fontId="26" fillId="0" borderId="0" xfId="0" applyNumberFormat="1" applyFont="1" applyAlignment="1">
      <alignment horizontal="left" vertical="center"/>
    </xf>
    <xf numFmtId="0" fontId="11" fillId="0" borderId="0" xfId="2" applyAlignment="1">
      <alignment horizontal="left" vertical="center" wrapText="1"/>
    </xf>
    <xf numFmtId="0" fontId="11" fillId="0" borderId="0" xfId="2" applyAlignment="1">
      <alignment horizontal="left" vertical="center"/>
    </xf>
    <xf numFmtId="0" fontId="2" fillId="7" borderId="3" xfId="0" applyFont="1" applyFill="1" applyBorder="1" applyAlignment="1">
      <alignment horizontal="center" vertical="center" wrapText="1"/>
    </xf>
    <xf numFmtId="0" fontId="15" fillId="0" borderId="0" xfId="0" applyFont="1" applyAlignment="1">
      <alignment horizontal="center" vertical="center"/>
    </xf>
    <xf numFmtId="0" fontId="7" fillId="0" borderId="5" xfId="1" applyAlignment="1">
      <alignment horizontal="left"/>
    </xf>
    <xf numFmtId="0" fontId="15" fillId="0" borderId="0" xfId="0" applyFont="1" applyAlignment="1">
      <alignment horizontal="left"/>
    </xf>
  </cellXfs>
  <cellStyles count="5">
    <cellStyle name="Currency 2" xfId="4" xr:uid="{EAF8E197-307A-9340-A0BE-E04DE89EC4CB}"/>
    <cellStyle name="Heading 1" xfId="1" builtinId="16"/>
    <cellStyle name="Hyperlink" xfId="2" builtinId="8"/>
    <cellStyle name="Monétaire 2" xfId="3" xr:uid="{FB8D1612-6A30-4212-BC43-596F7D73B7BA}"/>
    <cellStyle name="Normal" xfId="0" builtinId="0"/>
  </cellStyles>
  <dxfs count="63">
    <dxf>
      <numFmt numFmtId="167" formatCode="_([$€-2]\ * #,##0.00_);_([$€-2]\ * \(#,##0.00\);_([$€-2]\ * &quot;-&quot;??_);_(@_)"/>
    </dxf>
    <dxf>
      <numFmt numFmtId="166" formatCode="_(* #,##0_);_(* \(#,##0\);_(* &quot;-&quot;??_);_(@_)"/>
    </dxf>
    <dxf>
      <numFmt numFmtId="167" formatCode="_([$€-2]\ * #,##0.00_);_([$€-2]\ * \(#,##0.00\);_([$€-2]\ * &quot;-&quot;??_);_(@_)"/>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indexed="64"/>
          <bgColor theme="1" tint="0.14999847407452621"/>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numFmt numFmtId="165" formatCode="#,##0.00\ &quot;€&quo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numFmt numFmtId="19" formatCode="m/d/yyyy"/>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numFmt numFmtId="19" formatCode="m/d/yyyy"/>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ertAlign val="baseline"/>
        <sz val="9"/>
        <color theme="10"/>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indexed="64"/>
          <bgColor rgb="FF92D050"/>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indexed="64"/>
          <bgColor rgb="FF92D050"/>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indexed="64"/>
          <bgColor rgb="FF92D050"/>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indexed="64"/>
          <bgColor rgb="FF92D050"/>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auto="1"/>
        <name val="Calibri"/>
        <family val="2"/>
        <scheme val="minor"/>
      </font>
      <fill>
        <patternFill patternType="solid">
          <fgColor theme="4" tint="0.59999389629810485"/>
          <bgColor theme="4" tint="0.59999389629810485"/>
        </patternFill>
      </fill>
      <alignment horizontal="left" vertical="center" textRotation="0" wrapText="0" indent="0" justifyLastLine="0" shrinkToFit="0" readingOrder="0"/>
      <border diagonalUp="0" diagonalDown="0">
        <left/>
        <right style="thin">
          <color theme="0"/>
        </right>
        <top style="thin">
          <color theme="0"/>
        </top>
        <bottom style="thin">
          <color theme="0"/>
        </bottom>
        <vertical/>
        <horizontal/>
      </border>
    </dxf>
    <dxf>
      <border outline="0">
        <left style="thin">
          <color indexed="64"/>
        </left>
      </border>
    </dxf>
    <dxf>
      <font>
        <b val="0"/>
        <i val="0"/>
        <strike val="0"/>
        <condense val="0"/>
        <extend val="0"/>
        <outline val="0"/>
        <shadow val="0"/>
        <u val="none"/>
        <vertAlign val="baseline"/>
        <sz val="9"/>
        <color auto="1"/>
        <name val="Calibri"/>
        <scheme val="minor"/>
      </font>
      <numFmt numFmtId="0" formatCode="General"/>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numFmt numFmtId="165" formatCode="#,##0.00\ &quot;€&quot;"/>
      <alignment horizontal="center"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numFmt numFmtId="168" formatCode="dd/mm/yyyy"/>
      <fill>
        <patternFill patternType="solid">
          <fgColor indexed="64"/>
          <bgColor rgb="FFFFFF00"/>
        </patternFill>
      </fill>
      <alignment horizontal="left" vertical="center" textRotation="0" wrapText="0" indent="0" justifyLastLine="0" shrinkToFit="0" readingOrder="0"/>
    </dxf>
    <dxf>
      <font>
        <b/>
        <i val="0"/>
        <strike val="0"/>
        <condense val="0"/>
        <extend val="0"/>
        <outline val="0"/>
        <shadow val="0"/>
        <u val="none"/>
        <vertAlign val="baseline"/>
        <sz val="9"/>
        <color auto="1"/>
        <name val="Calibri"/>
        <family val="2"/>
        <scheme val="minor"/>
      </font>
      <numFmt numFmtId="168" formatCode="dd/mm/yyyy"/>
      <alignment horizontal="left"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numFmt numFmtId="168" formatCode="dd/mm/yyyy"/>
      <alignment horizontal="left" vertical="center" textRotation="0" wrapText="0" indent="0" justifyLastLine="0" shrinkToFit="0" readingOrder="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center" vertical="center" textRotation="0" wrapText="0" indent="0" justifyLastLine="0" shrinkToFit="0" readingOrder="0"/>
    </dxf>
    <dxf>
      <font>
        <strike val="0"/>
        <outline val="0"/>
        <shadow val="0"/>
        <vertAlign val="baseline"/>
        <sz val="9"/>
        <color auto="1"/>
      </font>
      <fill>
        <patternFill patternType="solid">
          <fgColor indexed="64"/>
          <bgColor theme="2"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Calibri"/>
        <scheme val="minor"/>
      </fon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top style="thin">
          <color indexed="64"/>
        </top>
        <bottom style="thin">
          <color indexed="64"/>
        </bottom>
      </border>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9"/>
        <color auto="1"/>
        <name val="Franklin Gothic Book"/>
        <scheme val="none"/>
      </font>
      <fill>
        <patternFill patternType="none">
          <fgColor indexed="64"/>
          <bgColor theme="0" tint="-0.34998626667073579"/>
        </patternFill>
      </fill>
      <alignment horizontal="left" vertical="center" textRotation="0" wrapText="1" indent="1"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Style de tableau 1" pivot="0" count="0" xr9:uid="{D057F5A2-948D-4E4C-A763-756F96A5EBC2}"/>
  </tableStyles>
  <colors>
    <mruColors>
      <color rgb="FF760000"/>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2</xdr:col>
      <xdr:colOff>6553200</xdr:colOff>
      <xdr:row>40</xdr:row>
      <xdr:rowOff>140772</xdr:rowOff>
    </xdr:to>
    <xdr:pic>
      <xdr:nvPicPr>
        <xdr:cNvPr id="4" name="Image 3">
          <a:extLst>
            <a:ext uri="{FF2B5EF4-FFF2-40B4-BE49-F238E27FC236}">
              <a16:creationId xmlns:a16="http://schemas.microsoft.com/office/drawing/2014/main" id="{EF8E348B-93B1-90F8-2AF2-4B091C24F780}"/>
            </a:ext>
          </a:extLst>
        </xdr:cNvPr>
        <xdr:cNvPicPr>
          <a:picLocks noChangeAspect="1"/>
        </xdr:cNvPicPr>
      </xdr:nvPicPr>
      <xdr:blipFill>
        <a:blip xmlns:r="http://schemas.openxmlformats.org/officeDocument/2006/relationships" r:embed="rId1"/>
        <a:stretch>
          <a:fillRect/>
        </a:stretch>
      </xdr:blipFill>
      <xdr:spPr>
        <a:xfrm>
          <a:off x="0" y="457200"/>
          <a:ext cx="14071600" cy="737977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rand, Cyrille /FR" id="{905C7200-015E-4691-B438-C8757C0D31C2}" userId="S::Cyrille.Grand@sanofi.com::10ec9de2-9ee3-4383-a66b-62a38fe08ca2"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i, Aparna /IN/EXT" refreshedDate="45961.554611111111" createdVersion="8" refreshedVersion="8" minRefreshableVersion="3" recordCount="375" xr:uid="{793B60D5-1F1D-4D53-8EBB-5BC0F0D39AD4}">
  <cacheSource type="worksheet">
    <worksheetSource name="PMS_Catalog"/>
  </cacheSource>
  <cacheFields count="27">
    <cacheField name="WU Id" numFmtId="0">
      <sharedItems count="378">
        <s v="IMS_WU_0001"/>
        <s v="IMS_WU_0087"/>
        <s v="IMS_WU_0088"/>
        <s v="IMS_WU_0094"/>
        <s v="IMS_WU_0095"/>
        <s v="IMS_WU_0096"/>
        <s v="IMS_WU_0197"/>
        <s v="IMS_WU_0205"/>
        <s v="IMS_WU_0230"/>
        <s v="IMS_WU_0232"/>
        <s v="IMS_WU_0234"/>
        <s v="IMS_WU_0239"/>
        <s v="IMS_WU_0242"/>
        <s v="IMS_WU_0246"/>
        <s v="IMS_WU_0247"/>
        <s v="IMS_WU_0250"/>
        <s v="IMS_WU_0251"/>
        <s v="IMS_WU_0257"/>
        <s v="IMS_WU_0258"/>
        <s v="PMS_WU_0006"/>
        <s v="PMS_WU_0008"/>
        <s v="PMS_WU_0009"/>
        <s v="PMS_WU_0010"/>
        <s v="PMS_WU_0011"/>
        <s v="PMS_WU_0012"/>
        <s v="PMS_WU_0019"/>
        <s v="PMS_WU_0020"/>
        <s v="PMS_WU_0021"/>
        <s v="PMS_WU_0023"/>
        <s v="PMS_WU_0026"/>
        <s v="PMS_WU_0030"/>
        <s v="PMS_WU_0032"/>
        <s v="PMS_WU_0037"/>
        <s v="PMS_WU_0038"/>
        <s v="PMS_WU_0039"/>
        <s v="PMS_WU_0040"/>
        <s v="PMS_WU_0041"/>
        <s v="PMS_WU_0042"/>
        <s v="PMS_WU_0043"/>
        <s v="PMS_WU_0044"/>
        <s v="PMS_WU_0053"/>
        <s v="PMS_WU_0054"/>
        <s v="PMS_WU_0056"/>
        <s v="PMS_WU_0061"/>
        <s v="PMS_WU_0064"/>
        <s v="PMS_WU_0066"/>
        <s v="PMS_WU_0069"/>
        <s v="PMS_WU_0070"/>
        <s v="PMS_WU_0071"/>
        <s v="PMS_WU_0072"/>
        <s v="PMS_WU_0073"/>
        <s v="PMS_WU_0074"/>
        <s v="PMS_WU_0075"/>
        <s v="PMS_WU_0076"/>
        <s v="PMS_WU_0077"/>
        <s v="PMS_WU_0078"/>
        <s v="PMS_WU_0080"/>
        <s v="PMS_WU_0084"/>
        <s v="PMS_WU_0085"/>
        <s v="PMS_WU_0086"/>
        <s v="PMS_WU_0088"/>
        <s v="PMS_WU_0089"/>
        <s v="PMS_WU_0090"/>
        <s v="PMS_WU_0091"/>
        <s v="PMS_WU_0092"/>
        <s v="PMS_WU_0093"/>
        <s v="PMS_WU_0097"/>
        <s v="PMS_WU_0098"/>
        <s v="PMS_WU_0099"/>
        <s v="IMS_WU_0265"/>
        <s v="IMS_WU_0266"/>
        <s v="IMS_WU_0269"/>
        <s v="IMS_WU_0276"/>
        <s v="PMS_WU_0100"/>
        <s v="PMS_WU_0101"/>
        <s v="PMS_WU_0102"/>
        <s v="PMS_WU_0103"/>
        <s v="PMS_WU_0104"/>
        <s v="PMS_WU_0105"/>
        <s v="PMS_WU_0113"/>
        <s v="PMS_WU_0114"/>
        <s v="PMS_WU_7002"/>
        <s v="PMS_WU_0144"/>
        <s v="PMS_WU_0153"/>
        <s v="PMS_WU_0154"/>
        <s v="PMS_WU_0155"/>
        <s v="PMS_WU_0156"/>
        <s v="PMS_WU_0157"/>
        <s v="PMS_WU_0158"/>
        <s v="PMS_WU_0159"/>
        <s v="PMS_WU_0160"/>
        <s v="PMS_WU_0161"/>
        <s v="PMS_WU_0162"/>
        <s v="PMS_WU_0163"/>
        <s v="PMS_WU_0164"/>
        <s v="PMS_WU_0165"/>
        <s v="PMS_WU_0166"/>
        <s v="PMS_WU_0167"/>
        <s v="PMS_WU_0168"/>
        <s v="PMS_WU_0172"/>
        <s v="PMS_WU_0173"/>
        <s v="PMS_WU_0174"/>
        <s v="PMS_WU_0175"/>
        <s v="PMS_WU_0176"/>
        <s v="PMS_WU_0177"/>
        <s v="PMS_WU_0178"/>
        <s v="PMS_WU_0183"/>
        <s v="PMS_WU_0186"/>
        <s v="PMS_WU_0187"/>
        <s v="PMS_WU_0192"/>
        <s v="PMS_WU_0193"/>
        <s v="PMS_WU_0194"/>
        <s v="PMS_WU_0195"/>
        <s v="PMS_WU_0196"/>
        <s v="PMS_WU_0198"/>
        <s v="PMS_WU_0199"/>
        <s v="PMS_WU_0200"/>
        <s v="PMS_WU_0201"/>
        <s v="PMS_WU_0207"/>
        <s v="PMS_WU_0210"/>
        <s v="PMS_WU_0211"/>
        <s v="PMS_WU_0212"/>
        <s v="PMS_WU_0213"/>
        <s v="PMS_WU_0214"/>
        <s v="PMS_WU_0233"/>
        <s v="PMS_WU_0235"/>
        <s v="PMS_WU_0236"/>
        <s v="PMS_WU_0238"/>
        <s v="PMS_WU_0241"/>
        <s v="PMS_WU_0243"/>
        <s v="PMS_WU_0245"/>
        <s v="PMS_WU_0248"/>
        <s v="PMS_WU_0249"/>
        <s v="PMS_WU_0252"/>
        <s v="PMS_WU_0253"/>
        <s v="PMS_WU_0254"/>
        <s v="PMS_WU_0259"/>
        <s v="PMS_WU_0267"/>
        <s v="PMS_WU_0268"/>
        <s v="PMS_WU_0270"/>
        <s v="PMS_WU_0271"/>
        <s v="IMS_WU_2015"/>
        <s v="IMS_WU_2017"/>
        <s v="PMS_WU_0274"/>
        <s v="PMS_WU_0275"/>
        <s v="PMS_WU_0278"/>
        <s v="PMS_WU_2016"/>
        <s v="PMS_WU_2020"/>
        <s v="PMS_WU_2022"/>
        <s v="PMS_WU_2025"/>
        <s v="PMS_WU_2030"/>
        <s v="PMS_WU_2032"/>
        <s v="PMS_WU_2034"/>
        <s v="IMS_WU_2018"/>
        <s v="PMS_WU_2042"/>
        <s v="IMS_WU_2020"/>
        <s v="IMS_WU_2023"/>
        <s v="IMS_WU_2025"/>
        <s v="IMS_WU_2026"/>
        <s v="IMS_WU_2028"/>
        <s v="IMS_WU_2031"/>
        <s v="IMS_WU_2035"/>
        <s v="IMS_WU_2036"/>
        <s v="IMS_WU_2090"/>
        <s v="PMS_WU_8000"/>
        <s v="IMS_WU_2091"/>
        <s v="IMS_WU_2124"/>
        <s v="IMS_WU_2174"/>
        <s v="IMS_WU_2178"/>
        <s v="IMS_WU_2207"/>
        <s v="IMS_WU_7001"/>
        <s v="IMS_WU_7002"/>
        <s v="IMS_WU_7003"/>
        <s v="IMS_WU_7004"/>
        <s v="IMS_WU_7005"/>
        <s v="IMS_WU_7006"/>
        <s v="IMS_WU_7007"/>
        <s v="IMS_WU_7008"/>
        <s v="IMS_WU_7009"/>
        <s v="IMS_WU_7010"/>
        <s v="IMS_WU_7011"/>
        <s v="IMS_WU_7012"/>
        <s v="IMS_WU_7013"/>
        <s v="IMS_WU_7014"/>
        <s v="IMS_WU_7015"/>
        <s v="IMS_WU_7016"/>
        <s v="IMS_WU_7017"/>
        <s v="IMS_WU_7018"/>
        <s v="IMS_WU_7019"/>
        <s v="IMS_WU_7020"/>
        <s v="IMS_WU_7021"/>
        <s v="IMS_WU_7022"/>
        <s v="PMS_WU_2241"/>
        <s v="IMS_WU_7023"/>
        <s v="IMS_WU_7024"/>
        <s v="IMS_WU_7025"/>
        <s v="IMS_WU_7026"/>
        <s v="IMS_WU_7027"/>
        <s v="IMS_WU_7028"/>
        <s v="IMS_WU_7029"/>
        <s v="IMS_WU_7030"/>
        <s v="IMS_WU_7031"/>
        <s v="IMS_WU_7032"/>
        <s v="IMS_WU_7033"/>
        <s v="IMS_WU_7034"/>
        <s v="IMS_WU_7035"/>
        <s v="IMS_WU_7036"/>
        <s v="IMS_WU_7037"/>
        <s v="IMS_WU_7038"/>
        <s v="IMS_WU_7039"/>
        <s v="IMS_WU_7040"/>
        <s v="IMS_WU_7041"/>
        <s v="IMS_WU_7042"/>
        <s v="IMS_WU_7043"/>
        <s v="IMS_WU_7044"/>
        <s v="IMS_WU_7045"/>
        <s v="IMS_WU_7046"/>
        <s v="IMS_WU_8000"/>
        <s v="IMS_WU_8001"/>
        <s v="PMS_WU_7003"/>
        <s v="PMS_WU_7004"/>
        <s v="PMS_WU_7006"/>
        <s v="PMS_WU_7008"/>
        <s v="PMS_WU_7014"/>
        <s v="PMS_WU_7015"/>
        <s v="PMS_WU_7016"/>
        <s v="PMS_WU_7017"/>
        <s v="PMS_WU_7019"/>
        <s v="PMS_WU_7020"/>
        <s v="PMS_WU_7021"/>
        <s v="PMS_WU_7023"/>
        <s v="PMS_WU_7024"/>
        <s v="PMS_WU_7025"/>
        <s v="PMS_WU_7026"/>
        <s v="PMS_WU_7027"/>
        <s v="PMS_WU_7028"/>
        <s v="PMS_WU_7029"/>
        <s v="PMS_WU_7031"/>
        <s v="PMS_WU_7032"/>
        <s v="PMS_WU_7033"/>
        <s v="PMS_WU_7035"/>
        <s v="PMS_WU_7036"/>
        <s v="PMS_WU_7037"/>
        <s v="PMS_WU_0260"/>
        <s v="PMS_WU_0261"/>
        <s v="IMS_WU_8002"/>
        <s v="PMS_WU_2202"/>
        <s v="PMS_WU_2256"/>
        <s v="PMS_WU_0264"/>
        <s v="PMS_WU_2212"/>
        <s v="PMS_WU_2029"/>
        <s v="PMS_WU_2203"/>
        <s v="PMS_WU_2204"/>
        <s v="PMS_WU_2213"/>
        <s v="PMS_WU_2243"/>
        <s v="PMS_WU_2257"/>
        <s v="PMS_WU_0017"/>
        <s v="PMS_WU_0149"/>
        <s v="IMS_WU_8003"/>
        <s v="PMS_WU_0150"/>
        <s v="PMS_WU_0151"/>
        <s v="PMS_WU_0152"/>
        <s v="IMS_WU_8004"/>
        <s v="IMS_WU_8005"/>
        <s v="IMS_WU_8006"/>
        <s v="PMS_WU_8010"/>
        <s v="IMS_WU_8007"/>
        <s v="IMS_WU_8010"/>
        <s v="IMS_WU_8011"/>
        <s v="PMS_WU_8003"/>
        <s v="IMS_WU_8012"/>
        <s v="IMS_WU_8013"/>
        <s v="PMS_WU_8011"/>
        <s v="IMS_WU_8014"/>
        <s v="PMS_WU_8012"/>
        <s v="IMS_WU_8015"/>
        <s v="IMS_WU_8016"/>
        <s v="IMS_WU_8017"/>
        <s v="PMS_WU_8013"/>
        <s v="IMS_WU_8018"/>
        <s v="IMS_WU_8019"/>
        <s v="PMS_WU_8014"/>
        <s v="IMS_WU_8020"/>
        <s v="IMS_WU_8021"/>
        <s v="IMS_WU_8022"/>
        <s v="PMS_WU_8002"/>
        <s v="PMS_WU_8009"/>
        <s v="IMS_WU_8023"/>
        <s v="IMS_WU_8024"/>
        <s v="IMS_WU_8025"/>
        <s v="IMS_WU_8026"/>
        <s v="PMS_WU_0237"/>
        <s v="PMS_WU_8015"/>
        <s v="PMS_WU_0079"/>
        <s v="PMS_WU_8016"/>
        <s v="PMS_WU_8017"/>
        <s v="PMS_WU_8018"/>
        <s v="PMS_WU_2187"/>
        <s v="PMS_WU_8019"/>
        <s v="PMS_WU_8020"/>
        <s v="PMS_WU_8021"/>
        <s v="PMS_WU_8022"/>
        <s v="PMS_WU_8023"/>
        <s v="IMS_WU_8027"/>
        <s v="IMS_WU_8028"/>
        <s v="PMS_WU_8024"/>
        <s v="PMS_WU_0031"/>
        <s v="PMS_WU_0256"/>
        <s v="PMS_WU_0277"/>
        <s v="PMS_WU_8025"/>
        <s v="PMS_WU_8026"/>
        <s v="PMS_WU_2215"/>
        <s v="PMS_WU_2302"/>
        <s v="PMS_WU_2303"/>
        <s v="PMS_WU_8027"/>
        <s v="IMS_WU_8029"/>
        <s v="PMS_WU_8028"/>
        <s v="PMS_WU_8029"/>
        <s v="PMS_WU_8030"/>
        <s v="PMS_WU_8031"/>
        <s v="IMS_WU_8030"/>
        <s v="PMS_WU_8032"/>
        <s v="IMS_WU_8031"/>
        <s v="PMS_WU_0029"/>
        <s v="IMS_WU_8032"/>
        <s v="PMS_WU_8034"/>
        <s v="PMS_WU_8035"/>
        <s v="IMS_WU_8033"/>
        <s v="PMS_WU_8036"/>
        <s v="PMS_WU_8037"/>
        <s v="IMS_WU_8034"/>
        <s v="IMS_WU_8035"/>
        <s v="IMS_WU_8036"/>
        <s v="PMS_WU_8038"/>
        <s v="PMS_WU_8039"/>
        <s v="PMS_WU_8040"/>
        <s v="PMS_WU_8041"/>
        <s v="PMS_WU_8042"/>
        <s v="PMS_WU_8043"/>
        <s v="PMS_WU_8044"/>
        <s v="PMS_WU_8045"/>
        <s v="PMS_WU_8046"/>
        <s v="PMS_WU_8047"/>
        <s v="PMS_WU_8048"/>
        <s v="PMS_WU_8049"/>
        <s v="PMS_WU_8050"/>
        <s v="IMS_WU_8037"/>
        <s v="IMS_WU_8038"/>
        <s v="IMS_WU_8039"/>
        <s v="IMS_WU_8040"/>
        <s v="IMS_WU_8041"/>
        <s v="PMS_WU_8051"/>
        <s v="IMS_WU_8042"/>
        <s v="IMS_WU_8043"/>
        <s v="PMS_WU_8052"/>
        <s v="PMS_WU_8053"/>
        <s v="PMS_WU_8054"/>
        <s v="PMS_WU_8055"/>
        <s v="PMS_WU_8056"/>
        <s v="PMS_WU_8057"/>
        <s v="PMS_WU_8058"/>
        <s v="IMS_WU_8044"/>
        <s v="IMS_WU_8045"/>
        <s v="IMS_WU_8046"/>
        <s v="PMS_WU_8059"/>
        <s v="PMS_WU_8060"/>
        <s v="PMS_WU_8061"/>
        <s v="PMS_WU_8062"/>
        <s v="PMS_WU_8063"/>
        <s v="IMS_WU_8047"/>
        <s v="PMS_WU_8064"/>
        <s v="PMS_WU_8065"/>
        <s v="PMS_WU_8066"/>
        <s v="PMS_WU_8067"/>
        <s v="PMS_WU_8068"/>
        <s v="PMS_WU_2021" u="1"/>
        <s v="PMS_WU_2242" u="1"/>
        <s v="PMS_WU_8033" u="1"/>
      </sharedItems>
    </cacheField>
    <cacheField name="Business Scope" numFmtId="0">
      <sharedItems count="2">
        <s v="Global"/>
        <s v="IA Sites"/>
      </sharedItems>
    </cacheField>
    <cacheField name="Hosting Environment" numFmtId="0">
      <sharedItems/>
    </cacheField>
    <cacheField name="Tech Tower" numFmtId="0">
      <sharedItems/>
    </cacheField>
    <cacheField name="Technology" numFmtId="0">
      <sharedItems containsBlank="1" count="89">
        <s v="API"/>
        <s v="Oracle"/>
        <s v="MS SQL"/>
        <s v="Network Security"/>
        <s v="AWS; Azure; GCP"/>
        <s v="STORAGE"/>
        <s v="ESX; Linux"/>
        <s v="HP-UX"/>
        <s v="Linux; HP-UX; Solaris; AIX"/>
        <s v="Citrix"/>
        <s v="AWS; GCP: RDS; PostgreSQL; MySQL; Aurora; SQL Server"/>
        <s v="MS-SQL"/>
        <s v="IIS"/>
        <s v="Apache; Tomcat"/>
        <s v="JBOSS"/>
        <s v="SAP"/>
        <s v="Linux; EC2; AWS; GCP"/>
        <s v="HP-UX; Linux; Solaris"/>
        <s v="Windows; EC2; AWS"/>
        <s v="BPM Appian"/>
        <s v="BI--App Deployments"/>
        <s v="Cognos; QLIKSENSE; QLIKVIEW; SAP BO; Tibco Spotfire"/>
        <s v="Cognos; TM1"/>
        <s v="BI--Package Deployments"/>
        <s v="Qliksense"/>
        <s v="Business Objects"/>
        <s v="SAS"/>
        <s v="Tableau"/>
        <s v="Tibco Spotfire"/>
        <s v="Oracle RAC"/>
        <s v="SCCM"/>
        <s v="Windows"/>
        <s v="Tibco"/>
        <s v="Control-M"/>
        <s v="Informatica"/>
        <s v="Weblogic"/>
        <s v="Websphere"/>
        <s v="Axway"/>
        <s v="CFT"/>
        <s v="E2B GI/ B2BI"/>
        <s v="Firewall/Switching/Routing"/>
        <s v="NGINX"/>
        <s v="Linux"/>
        <s v="HP-UX; Solaris"/>
        <s v="Virtual Directory Services"/>
        <s v="Windows; SQL Server"/>
        <s v="Windows; Citrix"/>
        <s v="VTOM"/>
        <s v="Cygwin"/>
        <s v="ksh scripts"/>
        <s v="Scripts"/>
        <s v="Azure; PostgreSQL; MS SQL; MySQL"/>
        <s v="Linux; Data Protector"/>
        <s v="Linux; RH Satellite"/>
        <s v="EC2; AWS"/>
        <s v="Windows; GCP"/>
        <s v="Amazon Linux; AWS"/>
        <s v="Linux; GCP"/>
        <s v="Cognos /TM1/Qlikview/SAP BO/Qliksense/Tibco Spotfire"/>
        <s v="MySQL; PostgreSQL"/>
        <s v="AWS; GCP"/>
        <s v="GCP"/>
        <s v="AWS"/>
        <s v="Linux; Azure"/>
        <s v="Linux; Azure; Oracle"/>
        <s v="Windows; IIS; Citrix; AZURE"/>
        <s v="AWS Quicksight"/>
        <s v="Cara"/>
        <s v="Splunk"/>
        <s v="SEP "/>
        <s v="FireEye"/>
        <s v="OS Hardening - GPO"/>
        <s v="Bastion"/>
        <s v="Unix "/>
        <s v="DCSSA"/>
        <s v="SOTI MDM "/>
        <s v="AWS-webhosting"/>
        <s v="Axway Secure Transport"/>
        <s v="Monitoring"/>
        <s v="Unix / Linux"/>
        <s v="Azure-webhosting_x000a_"/>
        <s v="ScaleOps-webhosting"/>
        <s v="Azure-webhosting"/>
        <s v="Backup"/>
        <s v="IICS"/>
        <s v="MDM"/>
        <s v="Oracle "/>
        <s v="Layer 7" u="1"/>
        <m u="1"/>
      </sharedItems>
    </cacheField>
    <cacheField name="Activities Category" numFmtId="0">
      <sharedItems count="23">
        <s v="Configuration"/>
        <s v="Minor Upgrade"/>
        <s v="Disaster Recovery Execution"/>
        <s v="Disaster Recovery Recurring testing"/>
        <s v="Operations"/>
        <s v="Decommissioning"/>
        <s v="Firmware Mgt"/>
        <s v="Provisioning"/>
        <s v="Migration"/>
        <s v="Disaster Recovery Setup"/>
        <s v="Deployment"/>
        <s v="Agent Mgt"/>
        <s v="Major Upgrade"/>
        <s v="Patch Mgt"/>
        <s v="Backup / Restore Setup"/>
        <s v="Backup / Restore Test"/>
        <s v="Lifecycle"/>
        <s v="Code versioning"/>
        <s v="Disaster Recovery First Execution"/>
        <s v="Backup / Restore Test First execution"/>
        <s v="Patch Mngt " u="1"/>
        <s v="Deployement" u="1"/>
        <s v="Decommissioning " u="1"/>
      </sharedItems>
    </cacheField>
    <cacheField name="Project related Services" numFmtId="0">
      <sharedItems count="313">
        <s v="API Deployment"/>
        <s v="DB Upgrade"/>
        <s v="DR 12c/RAC Execution / recurring testing"/>
        <s v="Replication Setup"/>
        <s v="SQL AlwaysOn/HADR Configuration "/>
        <s v="SQL Cluster/HA Configuration"/>
        <s v="Firewall/Proxy - Disaster recovery testing via performing  periodic resiliency Test "/>
        <s v="Deployment verification (pods running on OSE; not application verification) "/>
        <s v="Complete Storage Decommission"/>
        <s v="Decommission SAN switch"/>
        <s v="Disaster Recovery Testing - First time"/>
        <s v="SAN Switch FWUpgrade"/>
        <s v="Storage FW/OS Upgrade - Netapp and Data Domain"/>
        <s v="Replace SAN switch"/>
        <s v="SAN cleaning"/>
        <s v="Firmware Upgrade for Blade Planning and Coordination activities"/>
        <s v="Firmware Upgrade for Enclosure(OA &amp; VC) Planning and Coordination activities"/>
        <s v="Disaster Recovery Recurring Execution"/>
        <s v="HA Test ( HP-UX,Linux,Solaris, AIX) - Modification on cluster configuration"/>
        <s v="Application installation, configuration and publication"/>
        <s v="Instance provisioning  "/>
        <s v="Instance provisioning "/>
        <s v="MS-SQL Instance Provisioning "/>
        <s v="New website creation for specific application"/>
        <s v="Installation Application per environments and standardization as client requirements"/>
        <s v="Configuration of Apache/Tomcat (New environment Creation)"/>
        <s v="Web Server - Deployment (new)"/>
        <s v="Installation of webhosting platforms featuring high availability, clustered environment with workload management. Installation of dedicated or standard mutualized environment"/>
        <s v="SAP New Installation"/>
        <s v="Linux EC2 / GCP Provisioning"/>
        <s v="Standalone Blade Server Build"/>
        <s v="Windows EC2 Provisioning"/>
        <s v="API Portal creation"/>
        <s v="API Platform migration"/>
        <s v="API Platform  decommisioning"/>
        <s v="Installation &amp; Migration of applications to higher environment with re-platforming or re-development(Jboss,Apache,Tomcat,Weblogic,Websphere)"/>
        <s v="Installation of new WebServer and Application server environments and standardization as client requirements"/>
        <s v="Deployments of BI apps on-prem, mobile and PaaS (including packages and reports)"/>
        <s v="BI platform installation and configuration related issues cloud based or PaaS mode as per BI service definition, design and specifications - Cognos/QLIKSENSE/QLIKVIEW/SAP BO/Tibco Spotfire"/>
        <s v="Application Installation, configuration, management"/>
        <s v="Deploy of ad-hoc packages"/>
        <s v="Installation (multiple nodes)"/>
        <s v="Installation (one node)"/>
        <s v="SAS--Platform Installation &amp; configuration management"/>
        <s v="SAS--Application Installation &amp; configuration management"/>
        <s v="Installation (one server)"/>
        <s v="Build of Citrix STOREFRONT"/>
        <s v="CDB provisioning on existing cluster"/>
        <s v="Database Migration (RAC plus DG)"/>
        <s v="Database Migration (Simple)"/>
        <s v="DR Setup for 12c/RAC"/>
        <s v="RAC Instance Provisioning "/>
        <s v="Oracle grid cluster build"/>
        <s v="Dataguard environment build for HA"/>
        <s v="Exadata Environment build"/>
        <s v="Teradata environment Build"/>
        <s v="Database Migration"/>
        <s v="IIS Installation (Manual)"/>
        <s v="BWIP new website creation. Platform is available new sites are created. "/>
        <s v="Single Package Deployment"/>
        <s v="Single Patch or Update Group deployment"/>
        <s v="Firmware Upgrade Planning, Preparations and Coordination activities"/>
        <s v="SCCM Installation and Upgrade for In Scope servers"/>
        <s v="INTRANET new website creation. Platform is available new sites are created. "/>
        <s v="Migration of applications to higher environment with re-platforming or re-development"/>
        <s v="MDW-TIBCO Platform Installation for BW6"/>
        <s v="Implementation of framework according to EAI service definition, design and specification  "/>
        <s v="Job Creation for new application projects"/>
        <s v="Informatica - Project space creation for new application 9.1 / 9.6 for each environment"/>
        <s v="Migration of applications to higher environment with re-platforming or re-development(Jboss,Apache,Tomcat,Weblogic,Websphere)"/>
        <s v="Jboss - New Deployment"/>
        <s v="JBOSS - Configuration of Jboss (Configuring New Environment)"/>
        <s v="Web Logic - New Deployment"/>
        <s v="Configuration of Weblogic (New environment Creation)"/>
        <s v="Creation of external SFTP partner and VFD creation for new applications in projects. "/>
        <s v="Creation of routing rules in Gateway for new project - Inbound flow"/>
        <s v="Outbound flow from CFT server to external SFTP partner"/>
        <s v="Outbound flow from CFT Server to Gateway for new project "/>
        <s v="Implementation of CFT environment for new applications as part of projects"/>
        <s v="Creation of Inbound Flows"/>
        <s v="Creation of Outbound Flows"/>
        <s v="TID Implementation (LAN/WAN/Wifi) "/>
        <s v="Installation of new switch stack "/>
        <s v="Replacing switch stack"/>
        <s v="Develop and publish required DR processes and procedures (Per service/platform) "/>
        <s v="Major Version Upgrade for Centralized management tool of Firewall/Proxy"/>
        <s v="Major Version Upgrade for all in scope security devices i.e. Firewall,Proxy,IPS,Tacacs,AlgoSec,RSA"/>
        <s v="Integration of all in scope Security devices to Infrastructure/tools  i.e monitoring tools/Backup tools,SOC,AlogoSec,management consoles etc."/>
        <s v="New Partner connectivity establishment "/>
        <s v="NGINX - Application Deployment"/>
        <s v="NGINX- Container creation, deployment and configuration of application for new project"/>
        <s v="Create projects/namespaces, users and access : demand management"/>
        <s v="Create projects/namespaces, users and access : execution (incl. admin creation)"/>
        <s v="OSE Upgrade"/>
        <s v="SAP – DB upgrade "/>
        <s v="SAP OS DB Migration "/>
        <s v="SAP Upgrade"/>
        <s v="SAP Application Build"/>
        <s v="SAP - Support pack upgrade"/>
        <s v="Disaster Recovery Setup "/>
        <s v="New SAN Switch deployment - Core"/>
        <s v="New SAN Switch deployment - Edge"/>
        <s v="SAN Switch Replace Preparation activities"/>
        <s v="Storage expansion - Scale up/Scale Out"/>
        <s v="Storage level Migration - Across Array"/>
        <s v="Storage new infrastructure software deployment\upgrade (DCNM\OCI\Insight IQ)"/>
        <s v="Data Migration to new hardware devices"/>
        <s v="Enclosure Installation for hardware upgrade"/>
        <s v="Physical Server Migration (P2V)"/>
        <s v="Virtual Server Migration to new hardware (V2V)"/>
        <s v="Virtualisation Host Build"/>
        <s v="Virtual Directory-  Version Upgrade ( CTS Scope may be OS Upgrade and support vendor in installation and tool configuration)"/>
        <s v="File Share Migration - File share Cut Over (Data Migration)"/>
        <s v="File Share Migration - Data migration using script (Data Migration)"/>
        <s v="Physical Server to Virtual Server Migration =&gt; P2V"/>
        <s v="Virtual Server Migration to New Physical Hardware (i.e., to New ESXi Hosts) =&gt; V2V"/>
        <s v="RMAN catalog creation and addition of links"/>
        <s v="RMAN backup setting"/>
        <s v="Build Platform for MS-Cluster"/>
        <s v="Windows Failover Clustering_x000a_ for SQL Always on"/>
        <s v="Build Platform for Physical Blade"/>
        <s v="Script Execution / Requested by vendor for application deployment"/>
        <s v="Backup / restore IQTC"/>
        <s v="Backup and restore test setup"/>
        <s v="VTOM planning deployment"/>
        <s v="Installation Cygwin (Uniquement sur Windows)"/>
        <s v="Deployment Operating package (scripts)"/>
        <s v="Installation Client"/>
        <s v="Flow test for each partner"/>
        <s v="Implementation of a maintenance plan"/>
        <s v="Backup and restore test"/>
        <s v="configure CFT partners remote"/>
        <s v="Add local parner in the configuration of CFT (ie &gt; RAPPL: HOSTNAME)"/>
        <s v="Installation CFT"/>
        <s v="VTOM Client installation"/>
        <s v="Declare server in Up2Date and ensure patching is effective"/>
        <s v="Create volume on disk array"/>
        <s v="Using Data Protector Disaster Recovery Module Integration on Linux"/>
        <s v="Installation of Satellite v6 Agent on Linux servers"/>
        <s v="Configuration CFT gateway server - CFT and transFIC"/>
        <s v="Zoning creation for each device to connect to the SAN"/>
        <s v="Virtual Server CPU / RAM modification"/>
        <s v="Virtual Server Shutdown"/>
        <s v="Virtual Server Switch On"/>
        <s v="Create or modify disk"/>
        <s v="FS creation or modification"/>
        <s v="Scream test period"/>
        <s v="Installation Delivery Controller part"/>
        <s v="Decommission a Virtual Server"/>
        <s v="OS hardening"/>
        <s v="Single Package Deployment with IQ"/>
        <s v="Job configuration/modification for existing application."/>
        <s v="Job Creation for Problem remediation or maintenance activity"/>
        <s v="Job decom"/>
        <s v="Control-M Client installation"/>
        <s v="API Gateway/portal Renewal  &amp; replacement"/>
        <s v="API code versioning"/>
        <s v="API code decommisioning"/>
        <s v="SAP –  DB patching"/>
        <s v="Script Execution"/>
        <s v="ENC implementation"/>
        <s v="LIST - MISC hardware Decommission"/>
        <s v="Job Migration from one server to another, one application to another/one DC to another DC"/>
        <s v="Allows user to request for creation or modification of the first environment needed for a BI application (Qlikview, BO, ROAMBI, Cognos BI, Cognos TM1)"/>
        <s v="Other SQL Instance Provisioning "/>
        <s v="WW / Middleware / CHG / Deployment / Informatica Object Deployments"/>
        <s v="Informatica Cloud Project Onboarding (IICS)"/>
        <s v="Creation, evolution, transport, deployment, administration and configuration request."/>
        <s v="WW / TT6 Storage / Provisioning / CIFS share"/>
        <s v="WW / TT6 Storage / Provisioning / CIFS share + NFS export"/>
        <s v="WW / TT6 Storage / Provisioning / NFS export"/>
        <s v="Public Cloud AWS S3/GCP Cloud Storage Provisioning"/>
        <s v="Public Cloud AWS EFS/GCP File Store Provisioning"/>
        <s v="Public Cloud AWS FSx Provisioning"/>
        <s v="VM Server Build"/>
        <s v="Linux on Azure"/>
        <s v="Linux Oracle on Azure"/>
        <s v="Windows on GCP"/>
        <s v="Windows on Azure"/>
        <s v="VM Citrix Server Build"/>
        <s v="GLOBAL / Middleware / CHG / Deployment / EAI - TIBCO Application Deployment or Configuration"/>
        <s v="ESX Cluster Build "/>
        <s v="ESX Server Build"/>
        <s v="Application Configuration in SRM for Disaster Recovery for VM's"/>
        <s v="Creation of IS references in GeodIS and fill the form for MagicBox"/>
        <s v="Configure the repository (Archiva) and start the replication"/>
        <s v="Adhoc VM migrations"/>
        <s v="VX Rail Build"/>
        <s v="Install CA Release Automation Agent Windows only Regarding SCADALAN &gt; Read IP to identify Firewall rules to implement"/>
        <s v="Initialize the MagicBox for the project by CARA deploy team"/>
        <s v="Create site(s) (Infrastructure and/or Application) in CA Release Automation"/>
        <s v="Automated installation of infrastructure components on Virtual Machines, performed through Release Automation solution."/>
        <s v="Automated installation tasks for PICO and Kepware modules using CARA"/>
        <s v="Share Application Installation via CARA"/>
        <s v="Monitoring Tool Application installation"/>
        <s v="Splunk Agent Installation"/>
        <s v="DNS Record Update "/>
        <s v="Global implementation for New Metric injection in Monitoring Tool"/>
        <s v="Configure New Technology Events in Monitoring Tool"/>
        <s v="Decommissioning of Monitoring Tool (Project driven)"/>
        <s v="IAM Role and/or Policy Request"/>
        <s v="Modify &amp; removal of IAM users"/>
        <s v="S3 Bucket Policy Update"/>
        <s v="DNS Creation "/>
        <s v="Security Group Update "/>
        <s v="AWS Account Demmission"/>
        <s v="Internet Facing Service Deployment "/>
        <s v="Project creation"/>
        <s v="Custom IAM Role Adjustement "/>
        <s v="Project Decommission Restore "/>
        <s v="VPC Creation "/>
        <s v="Security Policy Change"/>
        <s v="Create VPN Connection "/>
        <s v="VPC Modification or Removal "/>
        <s v="WEB Proxy Change "/>
        <s v="Splunk Agent Upgrade"/>
        <s v="Create Database User Account Management "/>
        <s v="Decommissioning of Monitoring Tool (BAU)"/>
        <s v="API Activation"/>
        <s v="Creation of  IAM Users "/>
        <s v="API Modification or removal"/>
        <s v="DNS modification or removal"/>
        <s v="Firewall rules rules Create / modification or removal"/>
        <s v="AWS Account Provision Legacy (Manual)"/>
        <s v="VPC Endpoint Creation  "/>
        <s v="Modify / Removal of VPN Connection"/>
        <s v="VPC Endpoint Deletion "/>
        <s v="Update on Internet Proxy (Port or Whitelist SFTP)"/>
        <s v="Modify / Delete SFTP user access from AWS-bucket "/>
        <s v="New Storage array deployment"/>
        <s v="New Metro-cluster  Storage array deployment"/>
        <s v="Citrix Xenapp server configuration"/>
        <s v="Edge deployment pre-requiisites for Citrix Xenapp servers"/>
        <s v="Fslogix profile provisioning on Xenapp servers"/>
        <s v="Citrix image upgrade"/>
        <s v="Automated installation tasks of a Sanetiq application, performed through a release automation solution."/>
        <s v="IVtracer Installation via CARA "/>
        <s v="Manual Installation and Upgradation of SEP Client"/>
        <s v="Manual Installation and Upgradation of FireEye Client"/>
        <s v="Add servers to the OS Hardening security group"/>
        <s v="Up2date wave addition and patch update (Windows/Linux)"/>
        <s v="informtica/IICS MFT Job configuration Update-"/>
        <s v="Bastion Offboarding "/>
        <s v="Bastion Onboarding - Remediation "/>
        <s v="VM Server Build perimeter NGDC + AWS + GCP ( Cloud) "/>
        <s v=" FOR PHYSICAL SERVER  Stand Alone / Physical Build"/>
        <s v="Stand Alone / Physical Server Build OR build Platform for Physical Blade "/>
        <s v="Manual Installation"/>
        <s v="OS Hardening package deployment for non Pharma domain server"/>
        <s v=" wifi , installation of BCR, assessment and support "/>
        <s v="Scoping and hardware identification _x000a_Create ITS-Mobility package_x000a_Provide support"/>
        <s v="DEPLOY 1 PDA OR 1 PRINTER "/>
        <s v="Informatica  MFT File transfer"/>
        <s v="BWIP website decommision (BAU)"/>
        <s v="IICS - Mass Injestion File transfer "/>
        <s v="Creation of new jobs in existing accounts"/>
        <s v="BWIP website provisioning"/>
        <s v="Static website provisioning"/>
        <s v="Static website decommision  (BAU)"/>
        <s v="Migration of Gateweay flows to Informatica/IICS "/>
        <s v="Modify/Delete  Database User Account Management for existing account"/>
        <s v="Linux Cluster Installation of 2 nodes and configuration of cluster"/>
        <s v="Decommissiong of Physical server"/>
        <s v="L2 Monitoring Deployment for In Scope servers"/>
        <s v="L3 Monitoring Deployment for In Scope servers"/>
        <s v="Azure provisioning (Intranet)"/>
        <s v="Scale website provisioning"/>
        <s v="Scale website decommisioning"/>
        <s v="Azure app decommisioning (Intranet) (BAU)"/>
        <s v="Scale website decommisioning (BAU)"/>
        <s v="LACP Configuration for cluster servers"/>
        <s v="Commvault Master Server Precheck (Primary or Failover)"/>
        <s v="Commvault Master Server installation(Primary)"/>
        <s v="Commvault Master Server installation(Failover)"/>
        <s v="Web Server and Command Center in Different server"/>
        <s v="Commvault Media Server Provisioning"/>
        <s v="Commvault Media Server Deployment"/>
        <s v="Storeonce Deployement &amp; Configuration"/>
        <s v="Physical Server Bakcup deployement"/>
        <s v="Installation Qualification(IQ) for any new Backup infra setup"/>
        <s v="Acronis Server Initial Setup &amp; Configuration"/>
        <s v="Backup Device Movement from One DC to to Another or Shrink"/>
        <s v="Commvault Server, Storeonce or any other Backup tool"/>
        <s v="Commvault or Legacy Tool Backup Server Post Migration to new Tool"/>
        <s v="Cloud Backup configuration(Azure, AWS &amp; GCP)"/>
        <s v="Commvault Server or Bocada Report Creation"/>
        <s v="For any existing application Backup and Restore Test"/>
        <s v="Deploying IICS Assets across the Orgs"/>
        <s v="Installation of Bug Jars and Testing it across the Platform"/>
        <s v="Storeonce Configuration "/>
        <s v="Acronis server Installation &amp; Network configuration"/>
        <s v="Assessment for New site"/>
        <s v="On Prem to Netapp CVO Volume Migration"/>
        <s v="Physical Server From Legacy Backup Tool to New Tool"/>
        <s v="Virtual Server From Legacy Backup Tool to New Tool"/>
        <s v="PREPARATION OF TRP Document for first TRP document preparation or because of migration to cloud ONLY _x000a__x000a_"/>
        <s v="Deploying Ear files on the JBOSS Server across env"/>
        <s v="Storeonce or Legacy Storage Decommission Post Migration"/>
        <s v="Uninstall Backup agent "/>
        <s v="Create Oracle DB on existing RHEL server - M&amp;S Cluster "/>
        <s v="New Vlan Creation  "/>
        <s v="Database Migration (Simple - less than 100 GB)"/>
        <s v="Database Migration (Medium - between 101  GB to 500 GB )"/>
        <s v="Database Migration (Complex - between 501 GB to 2 TB )"/>
        <s v="Oracle DB Decom"/>
        <s v="Oracle database Schema Creation"/>
        <s v="DR 12c/RAC First Execution /  testing "/>
        <s v="RMAN backup setting for Database "/>
        <s v="First exection of DB Backup / Restore Test  "/>
        <s v="DB Upgrade "/>
        <s v="Instance qualification" u="1"/>
        <s v="Deploy OVF + Installation netscaler Citrix part" u="1"/>
        <s v="Citrix Farm Build " u="1"/>
      </sharedItems>
    </cacheField>
    <cacheField name="Activity Break-up Details" numFmtId="0">
      <sharedItems containsMixedTypes="1" containsNumber="1" containsInteger="1" minValue="0" maxValue="0" longText="1"/>
    </cacheField>
    <cacheField name="Standard Request  in SNOW" numFmtId="0">
      <sharedItems/>
    </cacheField>
    <cacheField name="Standard Request link in SNOW" numFmtId="0">
      <sharedItems/>
    </cacheField>
    <cacheField name="Change Model Reference ID in SNOW" numFmtId="0">
      <sharedItems/>
    </cacheField>
    <cacheField name="Billing unit" numFmtId="0">
      <sharedItems/>
    </cacheField>
    <cacheField name="UNIQUE PRICE per hour" numFmtId="0">
      <sharedItems containsBlank="1" containsMixedTypes="1" containsNumber="1" minValue="21.75" maxValue="21.75"/>
    </cacheField>
    <cacheField name="PMS Effort (Hours)" numFmtId="0">
      <sharedItems containsMixedTypes="1" containsNumber="1" minValue="0.2" maxValue="60"/>
    </cacheField>
    <cacheField name="PMS Price with Unique price " numFmtId="0">
      <sharedItems containsMixedTypes="1" containsNumber="1" minValue="0" maxValue="1305"/>
    </cacheField>
    <cacheField name=" Std Delivery Leadtime (Days)" numFmtId="0">
      <sharedItems containsMixedTypes="1" containsNumber="1" containsInteger="1" minValue="1" maxValue="56"/>
    </cacheField>
    <cacheField name="SANOFI Service owner - Service Expert - Service Manager" numFmtId="0">
      <sharedItems/>
    </cacheField>
    <cacheField name="PMS WU //° rate (%)" numFmtId="0">
      <sharedItems containsMixedTypes="1" containsNumber="1" minValue="0.25" maxValue="0.8"/>
    </cacheField>
    <cacheField name="Comments" numFmtId="0">
      <sharedItems containsBlank="1" longText="1"/>
    </cacheField>
    <cacheField name="Cab validation date " numFmtId="14">
      <sharedItems containsSemiMixedTypes="0" containsNonDate="0" containsDate="1" containsString="0" minDate="2022-07-26T00:00:00" maxDate="2025-03-13T00:00:00"/>
    </cacheField>
    <cacheField name="Service Catalog  VERSION" numFmtId="0">
      <sharedItems/>
    </cacheField>
    <cacheField name="Productivity reference date " numFmtId="14">
      <sharedItems containsSemiMixedTypes="0" containsNonDate="0" containsDate="1" containsString="0" minDate="2022-04-01T00:00:00" maxDate="2025-03-13T00:00:00"/>
    </cacheField>
    <cacheField name="Year apply " numFmtId="0">
      <sharedItems containsSemiMixedTypes="0" containsString="0" containsNumber="1" containsInteger="1" minValue="0" maxValue="3"/>
    </cacheField>
    <cacheField name="%Apply " numFmtId="0">
      <sharedItems containsSemiMixedTypes="0" containsString="0" containsNumber="1" minValue="0" maxValue="0.1"/>
    </cacheField>
    <cacheField name="Final Price (with Productivity)" numFmtId="165">
      <sharedItems containsMixedTypes="1" containsNumber="1" minValue="0" maxValue="1174.5"/>
    </cacheField>
    <cacheField name="WRITE HERE THE NUMBER that you need for : JOBS for PMS_WU_7003 and 7002 OR  for WU PMS_WU_2017 and 2020 and 2241 and 2242" numFmtId="0">
      <sharedItems containsString="0" containsBlank="1" containsNumber="1" containsInteger="1" minValue="0" maxValue="0"/>
    </cacheField>
    <cacheField name="IMS/PMS" numFmtId="0">
      <sharedItems count="2">
        <s v="IMS"/>
        <s v="PM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
  <r>
    <x v="0"/>
    <x v="0"/>
    <s v="On_Prem/ Cloud"/>
    <s v="API"/>
    <x v="0"/>
    <x v="0"/>
    <x v="0"/>
    <s v="_x000a_1. Move APIs to external Gateway according to request_x000a_2. Move APIs to internal Gateway according to request_x000a_3. IQF creation"/>
    <s v="GAMS (API) Service Request"/>
    <s v="https://sanofiservices.service-now.com/onesupport?id=sc_cat_item_guide&amp;table=sc_cat_item&amp;sys_id=f682ea9a1b4c9914d849206e3b4bcb84"/>
    <s v="ITS-CHMOD0003855"/>
    <s v="Per Deployment"/>
    <n v="21.75"/>
    <s v="IMS"/>
    <s v="IMS"/>
    <n v="20"/>
    <s v="Service Owner - Expert - manager follow this link "/>
    <s v="Not Applicable"/>
    <m/>
    <d v="2022-07-26T00:00:00"/>
    <s v="Initial baseline"/>
    <d v="2022-04-01T00:00:00"/>
    <n v="3"/>
    <n v="0.1"/>
    <s v="IMS"/>
    <m/>
    <x v="0"/>
  </r>
  <r>
    <x v="1"/>
    <x v="0"/>
    <s v="On_Prem"/>
    <s v="DB--Oracle"/>
    <x v="1"/>
    <x v="1"/>
    <x v="1"/>
    <s v="DB update at patch level"/>
    <s v="Not Applicable"/>
    <s v="Not Applicable"/>
    <s v="Not Applicable"/>
    <s v="Per Database "/>
    <n v="21.75"/>
    <s v="IMS"/>
    <s v="IMS"/>
    <s v="To Define Q2 2025"/>
    <s v="Service Owner - Expert - manager follow this link "/>
    <s v="Not Applicable"/>
    <m/>
    <d v="2022-07-26T00:00:00"/>
    <s v="Initial baseline"/>
    <d v="2022-04-01T00:00:00"/>
    <n v="3"/>
    <n v="0.1"/>
    <s v="IMS"/>
    <m/>
    <x v="0"/>
  </r>
  <r>
    <x v="2"/>
    <x v="0"/>
    <s v="On_Prem"/>
    <s v="DB--Oracle"/>
    <x v="1"/>
    <x v="2"/>
    <x v="2"/>
    <s v="Prechecks _x000a_Check whether Prod and DR database are in sync._x000a_Check for database backup have completed before start of the DR activity._x000a_Implementation_x000a_Switch over to the DR database._x000a_After application team testing is completed._x000a_Switch back db to Actual prod database._x000a_Post Check _x000a_Check database backup is completing it successfully."/>
    <s v="Oracle Operations"/>
    <s v="https://sanofiservices.service-now.com/onesupport?id=sc_cat_item_guide&amp;table=sc_cat_item&amp;sys_id=8ef52e074f098fc4cb48c0428110c701"/>
    <s v="ITS-CHMOD0001381"/>
    <s v="Not Applicable"/>
    <n v="21.75"/>
    <s v="IMS"/>
    <s v="IMS"/>
    <n v="7"/>
    <s v="Service Owner - Expert - manager follow this link "/>
    <s v="Not Applicable"/>
    <m/>
    <d v="2022-07-26T00:00:00"/>
    <s v="Initial baseline"/>
    <d v="2022-04-01T00:00:00"/>
    <n v="3"/>
    <n v="0.1"/>
    <s v="IMS"/>
    <m/>
    <x v="0"/>
  </r>
  <r>
    <x v="3"/>
    <x v="0"/>
    <s v="On_Prem"/>
    <s v="DB--SQL"/>
    <x v="2"/>
    <x v="0"/>
    <x v="3"/>
    <s v="L3 Coordination  activities:_x000a_*Colelcting all required details in GIFT. _x000a_"/>
    <s v="SQL Server Operations"/>
    <s v="https://sanofiservices.service-now.com/onesupport?id=sc_cat_item_guide&amp;table=sc_cat_item&amp;sys_id=d2802610db198f8805ea766eaf961961"/>
    <s v="ITS-CHMOD0000444"/>
    <s v="Per replication"/>
    <n v="21.75"/>
    <s v="IMS"/>
    <s v="IMS"/>
    <n v="7"/>
    <s v="Service Owner - Expert - manager follow this link "/>
    <s v="Not Applicable"/>
    <m/>
    <d v="2022-07-26T00:00:00"/>
    <s v="Initial baseline"/>
    <d v="2022-04-01T00:00:00"/>
    <n v="3"/>
    <n v="0.1"/>
    <s v="IMS"/>
    <m/>
    <x v="0"/>
  </r>
  <r>
    <x v="4"/>
    <x v="0"/>
    <s v="On_Prem"/>
    <s v="DB--SQL"/>
    <x v="2"/>
    <x v="0"/>
    <x v="4"/>
    <s v="L3 Coordination Activities:_x000a_*Co-ordinating with OS team, Network team, storage team for cluster Name, IPs, domain details, listener name, IP details. _x000a_* Collecting Listener object and Computer object details. - _x000a_* Verifying the CRQ is having all required information. - _x000a_* Verifying the pre check points for configuration. _x000a__x000a_L3 Implementaion Activities: : _x000a_* Configuring AlwaysOn and Listener Name _x000a_* Testing the configuration and validating the SQL AlwaysOn/HADR working fine."/>
    <s v="Not Applicable"/>
    <s v="Not Applicable"/>
    <s v="Not Applicable"/>
    <s v="Instance"/>
    <n v="21.75"/>
    <s v="IMS"/>
    <s v="IMS"/>
    <n v="7"/>
    <s v="Service Owner - Expert - manager follow this link "/>
    <s v="Not Applicable"/>
    <m/>
    <d v="2022-07-26T00:00:00"/>
    <s v="Initial baseline"/>
    <d v="2022-04-01T00:00:00"/>
    <n v="3"/>
    <n v="0.1"/>
    <s v="IMS"/>
    <m/>
    <x v="0"/>
  </r>
  <r>
    <x v="5"/>
    <x v="0"/>
    <s v="On_Prem"/>
    <s v="DB--SQL"/>
    <x v="2"/>
    <x v="0"/>
    <x v="5"/>
    <s v="L3 Coordination Activities:_x000a_* Co-ordinating with OS team for cluster Name, IPs, domain details._x000a_* Verifying the pre check points for configuration.Checking cluster validation report all OK. _x000a_* Verifying the CRQ is created with accurate information is there to implement. _x000a__x000a_L3 Implementaion Activities: : _x000a_* Configure SQL server clustering -_x000a_*After configuration, do SQL cluster validation test and validate.(Cluster of 2 Nodes/SQL Instances) "/>
    <s v="Not Applicable"/>
    <s v="Not Applicable"/>
    <s v="Not Applicable"/>
    <s v="Instance"/>
    <n v="21.75"/>
    <s v="IMS"/>
    <s v="IMS"/>
    <n v="10"/>
    <s v="Service Owner - Expert - manager follow this link "/>
    <s v="Not Applicable"/>
    <m/>
    <d v="2022-07-26T00:00:00"/>
    <s v="Initial baseline"/>
    <d v="2022-04-01T00:00:00"/>
    <n v="3"/>
    <n v="0.1"/>
    <s v="IMS"/>
    <m/>
    <x v="0"/>
  </r>
  <r>
    <x v="6"/>
    <x v="0"/>
    <s v="On_Prem"/>
    <s v="Network Security"/>
    <x v="3"/>
    <x v="3"/>
    <x v="6"/>
    <s v="Engage with all stakeholders/service owners for approved maintenance window_x000a_Prepare implementation plan _x000a_Execute during maintenance window with application owner/tester availability _x000a_Testing to prove DR capability "/>
    <s v="No"/>
    <s v="No"/>
    <s v="Not Applicable"/>
    <s v="Per Device "/>
    <n v="21.75"/>
    <s v="IMS"/>
    <s v="IMS"/>
    <s v="To Define Q2 2025"/>
    <s v="Service Owner - Expert - manager follow this link "/>
    <s v="Not Applicable"/>
    <m/>
    <d v="2022-07-26T00:00:00"/>
    <s v="Initial baseline"/>
    <d v="2022-04-01T00:00:00"/>
    <n v="3"/>
    <n v="0.1"/>
    <s v="IMS"/>
    <m/>
    <x v="0"/>
  </r>
  <r>
    <x v="7"/>
    <x v="0"/>
    <s v="Public_Cloud"/>
    <s v="SCALe"/>
    <x v="4"/>
    <x v="4"/>
    <x v="7"/>
    <n v="0"/>
    <s v="Not Applicable"/>
    <s v="Not Applicable"/>
    <s v="Not Applicable"/>
    <s v="Per Project"/>
    <n v="21.75"/>
    <s v="IMS"/>
    <s v="IMS"/>
    <n v="3"/>
    <s v="Service Owner - Expert - manager follow this link "/>
    <s v="Not Applicable"/>
    <m/>
    <d v="2022-07-26T00:00:00"/>
    <s v="Initial baseline"/>
    <d v="2022-04-01T00:00:00"/>
    <n v="3"/>
    <n v="0.1"/>
    <s v="IMS"/>
    <m/>
    <x v="0"/>
  </r>
  <r>
    <x v="8"/>
    <x v="0"/>
    <s v="On_Prem"/>
    <s v="Storage"/>
    <x v="5"/>
    <x v="5"/>
    <x v="8"/>
    <s v="L3 coordination:_x000a_Coordination with ITS, platform team, Vendor _x000a_L3 Implementation Activities:_x000a_Cleanup and decommission activities"/>
    <s v="Not Applicable"/>
    <s v="Not Applicable"/>
    <s v="ITS-CHMOD0001164"/>
    <s v="per storage"/>
    <n v="21.75"/>
    <s v="IMS"/>
    <s v="IMS"/>
    <n v="15"/>
    <s v="Service Owner - Expert - manager follow this link "/>
    <s v="Not Applicable"/>
    <m/>
    <d v="2022-07-26T00:00:00"/>
    <s v="Initial baseline"/>
    <d v="2022-04-01T00:00:00"/>
    <n v="3"/>
    <n v="0.1"/>
    <s v="IMS"/>
    <m/>
    <x v="0"/>
  </r>
  <r>
    <x v="9"/>
    <x v="0"/>
    <s v="On_Prem"/>
    <s v="Storage"/>
    <x v="5"/>
    <x v="5"/>
    <x v="9"/>
    <s v="L3 coordination:_x000a_Coordination with ITS_x000a_L3 Implementation Activities:_x000a_Coordination with Proximity and Vendor_x000a_Remove port-channel _x000a_CMDB update"/>
    <s v="Not Applicable"/>
    <s v="Not Applicable"/>
    <s v="ITS-CHMOD0001164"/>
    <s v="Per Switch"/>
    <n v="21.75"/>
    <s v="IMS"/>
    <s v="IMS"/>
    <n v="7"/>
    <s v="Service Owner - Expert - manager follow this link "/>
    <s v="Not Applicable"/>
    <m/>
    <d v="2023-04-05T00:00:00"/>
    <s v="V0.3"/>
    <d v="2023-04-05T00:00:00"/>
    <n v="2"/>
    <n v="0.1"/>
    <s v="IMS"/>
    <m/>
    <x v="0"/>
  </r>
  <r>
    <x v="10"/>
    <x v="0"/>
    <s v="On_Prem"/>
    <s v="Storage"/>
    <x v="5"/>
    <x v="3"/>
    <x v="10"/>
    <s v="L3 coordination:_x000a_Requirement gathering and coordination with requestor and internal team_x000a_L3 Impementation Activities:_x000a_Execute switchover for DR testing and revert configuration when done "/>
    <s v="Not Applicable"/>
    <s v="Not Applicable"/>
    <s v="Not Applicable"/>
    <s v="Per DR"/>
    <n v="21.75"/>
    <s v="IMS"/>
    <s v="IMS"/>
    <n v="7"/>
    <s v="Service Owner - Expert - manager follow this link "/>
    <s v="Not Applicable"/>
    <m/>
    <d v="2023-04-05T00:00:00"/>
    <s v="V0.3"/>
    <d v="2023-04-05T00:00:00"/>
    <n v="2"/>
    <n v="0.1"/>
    <s v="IMS"/>
    <m/>
    <x v="0"/>
  </r>
  <r>
    <x v="11"/>
    <x v="0"/>
    <s v="On_Prem"/>
    <s v="Storage"/>
    <x v="5"/>
    <x v="6"/>
    <x v="11"/>
    <s v="L3 coordination:_x000a_Coordination with ITS, platform team, Vendor_x000a_L3 Implementation Activities:_x000a_Check the present code version of switch &amp; behaviour of switch performance with existing servers and the storage,redundancy path of each server which is connected to each of the switches in each fabric,validate no failure of hardware on existing switches in each fabric to accept the upgrade,_x000a_Need to peform pre-check just before upgrade,_x000a_Need to do post-check after performing the upgrade, Swich upgrade_x000a_"/>
    <s v="Not Applicable"/>
    <s v="Not Applicable"/>
    <s v="Not Applicable"/>
    <s v="Per Switch"/>
    <n v="21.75"/>
    <s v="IMS"/>
    <s v="IMS"/>
    <n v="7"/>
    <s v="Service Owner - Expert - manager follow this link "/>
    <s v="Not Applicable"/>
    <m/>
    <d v="2023-04-05T00:00:00"/>
    <s v="V0.3"/>
    <d v="2023-04-05T00:00:00"/>
    <n v="2"/>
    <n v="0.1"/>
    <s v="IMS"/>
    <m/>
    <x v="0"/>
  </r>
  <r>
    <x v="12"/>
    <x v="0"/>
    <s v="On_Prem"/>
    <s v="Storage"/>
    <x v="5"/>
    <x v="6"/>
    <x v="12"/>
    <s v="Storage FW Upgrade - Netapp and Data Domain:_x000a_L3 Implementation Activities:_x000a_Upgrade discussions on bug and compatibility checks and with vendors_x000a_pre and post check_x000a_Installing code and performing the upgrade_x000a__x000a_"/>
    <s v="Not Applicable"/>
    <s v="Not Applicable"/>
    <s v="Not Applicable"/>
    <s v="Per controller"/>
    <n v="21.75"/>
    <s v="IMS"/>
    <s v="IMS"/>
    <n v="7"/>
    <s v="Service Owner - Expert - manager follow this link "/>
    <s v="Not Applicable"/>
    <m/>
    <d v="2023-04-05T00:00:00"/>
    <s v="V0.3"/>
    <d v="2023-04-05T00:00:00"/>
    <n v="2"/>
    <n v="0.1"/>
    <s v="IMS"/>
    <m/>
    <x v="0"/>
  </r>
  <r>
    <x v="13"/>
    <x v="0"/>
    <s v="On_Prem"/>
    <s v="Storage"/>
    <x v="5"/>
    <x v="4"/>
    <x v="13"/>
    <s v="L3 coordination:_x000a_Coordination with ITS_x000a_L3 Implementation Activities:_x000a_IP reconfigure_x000a_Port-Channel configuration_x000a_Coordinate with Proximity _x000a_License addition_x000a_CMDB update"/>
    <s v="Not Applicable"/>
    <s v="Not Applicable"/>
    <s v="Not Applicable"/>
    <s v="Per Switch"/>
    <n v="21.75"/>
    <s v="IMS"/>
    <s v="IMS"/>
    <n v="15"/>
    <s v="Service Owner - Expert - manager follow this link "/>
    <s v="Not Applicable"/>
    <m/>
    <d v="2023-04-05T00:00:00"/>
    <s v="V0.3"/>
    <d v="2023-04-05T00:00:00"/>
    <n v="2"/>
    <n v="0.1"/>
    <s v="IMS"/>
    <m/>
    <x v="0"/>
  </r>
  <r>
    <x v="14"/>
    <x v="0"/>
    <s v="On_Prem"/>
    <s v="Storage"/>
    <x v="5"/>
    <x v="4"/>
    <x v="14"/>
    <s v="L3 coordination:_x000a_Coordination with ITS, platform team, Proximity team_x000a_L3 Implementation Activities:_x000a_Clean zoning , aliases from hanging devices _x000a_Rename devices &amp; zones to follow best practices and naming conventions"/>
    <s v="Not Applicable"/>
    <s v="Not Applicable"/>
    <s v="Not Applicable"/>
    <s v="Per Site (Does not matter room# and switch#)"/>
    <n v="21.75"/>
    <s v="IMS"/>
    <s v="IMS"/>
    <n v="15"/>
    <s v="Service Owner - Expert - manager follow this link "/>
    <s v="Not Applicable"/>
    <m/>
    <d v="2023-04-05T00:00:00"/>
    <s v="V0.3"/>
    <d v="2023-04-05T00:00:00"/>
    <n v="2"/>
    <n v="0.1"/>
    <s v="IMS"/>
    <m/>
    <x v="0"/>
  </r>
  <r>
    <x v="15"/>
    <x v="0"/>
    <s v="On_Prem"/>
    <s v="Unix "/>
    <x v="6"/>
    <x v="6"/>
    <x v="15"/>
    <s v="L3 Planning Activities:_x000a_- Analysis the Current firmware Level of Blade and_x000a_  Planning for order of System Firmware upgrade, Ilo,HBA,NIC_x000a__x000a_L3 Co-ordination Activities:_x000a_- Co-ordination and meeting with respective owner"/>
    <s v="Not Applicable"/>
    <s v="Not Applicable"/>
    <s v="Not Applicable"/>
    <s v="per blade"/>
    <n v="21.75"/>
    <s v="IMS"/>
    <s v="IMS"/>
    <s v="To Define Q2 2025"/>
    <s v="Service Owner - Expert - manager follow this link "/>
    <s v="Not Applicable"/>
    <s v="If more than 2 blade it comes under PMS_x000a__x000a_Given time lines and scope of work appplicable."/>
    <d v="2022-07-26T00:00:00"/>
    <s v="Initial baseline"/>
    <d v="2022-04-01T00:00:00"/>
    <n v="3"/>
    <n v="0.1"/>
    <s v="IMS"/>
    <m/>
    <x v="0"/>
  </r>
  <r>
    <x v="16"/>
    <x v="0"/>
    <s v="On_Prem"/>
    <s v="Unix "/>
    <x v="7"/>
    <x v="6"/>
    <x v="16"/>
    <s v="L3 Planning Activities:_x000a_- Analysis the Current firmware Level and_x000a_  Planning for order of upgrade_x000a__x000a_L3 Co-ordination Activities:_x000a_- Co-ordination and meeting with respective owner"/>
    <s v="Not Applicable"/>
    <s v="Not Applicable"/>
    <s v="Not Applicable"/>
    <s v="per enclosure"/>
    <n v="21.75"/>
    <s v="IMS"/>
    <s v="IMS"/>
    <s v="To Define Q2 2025"/>
    <s v="Service Owner - Expert - manager follow this link "/>
    <s v="Not Applicable"/>
    <s v="If more than 3 enclousers it comes under PMS_x000a__x000a_Given time lines and scope of work appplicable."/>
    <d v="2022-07-26T00:00:00"/>
    <s v="Initial baseline"/>
    <d v="2022-04-01T00:00:00"/>
    <n v="3"/>
    <n v="0.1"/>
    <s v="IMS"/>
    <m/>
    <x v="0"/>
  </r>
  <r>
    <x v="17"/>
    <x v="0"/>
    <s v="On_Prem"/>
    <s v="Unix "/>
    <x v="8"/>
    <x v="0"/>
    <x v="17"/>
    <s v="L3 Activities: for DR Setup_x000a_- Review &amp; update Unix portion of the TRP plan  _x000a_- DR server configuration staging _x000a_-Production site shutdown, DR site activation (releasing FS, Prod server shutdown, lockdown the PRD site; activate VG, FS, DR VIP, NFS on DR site)_x000a_- Server custom configuration at DR site . during test_x000a_-DR server reboot &amp; verification _x000a_-Testing evidence gathering  ._x000a_- Unix support for application troubleshooting_x000a_- Testing coordination during the DR exercise _x000a_- Reboot DR machine Test application along with SAP/DB _x000a_- (releasing  VG, FS, DR VIP, NFS DR site; Unlocking and booting PROD site) 2.00 Hr_x000a_- Check High Availability (just verfication) 2.00 Hr_x000a_L3 Coordination:_x000a_DR Planning Meetings  (Batch Planing, multiple group step planning)"/>
    <s v="Not Applicable"/>
    <s v="Not Applicable"/>
    <s v="Not Applicable"/>
    <s v="Per DR"/>
    <n v="21.75"/>
    <s v="IMS"/>
    <s v="IMS"/>
    <s v="To Define Q2 2025"/>
    <s v="Service Owner - Expert - manager follow this link "/>
    <s v="Not Applicable"/>
    <m/>
    <d v="2022-07-26T00:00:00"/>
    <s v="Initial baseline"/>
    <d v="2022-04-01T00:00:00"/>
    <n v="3"/>
    <n v="0.1"/>
    <s v="IMS"/>
    <m/>
    <x v="0"/>
  </r>
  <r>
    <x v="18"/>
    <x v="0"/>
    <s v="On_Prem"/>
    <s v="Unix "/>
    <x v="8"/>
    <x v="0"/>
    <x v="18"/>
    <s v="L3 Activities::_x000a_- Work with application team for CTM jobs to hold _x000a_- Performing  HA testing with app stakeholder ( like DBA, SAP etc) _x000a__x000a_L3 Co-ordination Activities:_x000a_Gather requirement in GIFT form and verify GIFT and ensure completeness._x000a__x000a_"/>
    <s v="Not Applicable"/>
    <s v="Not Applicable"/>
    <s v="Not Applicable"/>
    <s v="2 nodes"/>
    <n v="21.75"/>
    <s v="IMS"/>
    <s v="IMS"/>
    <s v="To Define Q2 2025"/>
    <s v="Service Owner - Expert - manager follow this link "/>
    <s v="Not Applicable"/>
    <m/>
    <d v="2022-07-26T00:00:00"/>
    <s v="Initial baseline"/>
    <d v="2022-04-01T00:00:00"/>
    <n v="3"/>
    <n v="0.1"/>
    <s v="IMS"/>
    <m/>
    <x v="0"/>
  </r>
  <r>
    <x v="19"/>
    <x v="0"/>
    <s v="On_Prem"/>
    <s v="Citrix"/>
    <x v="9"/>
    <x v="7"/>
    <x v="19"/>
    <s v="L3 Implementation Activities:_x000a_- Prerequisite Installation _x000a_- Application Installation_x000a_- Configuration of Parameters as per requirement_x000a_- Testing "/>
    <s v="CITRIX XeNot Applicablepp – Application publication"/>
    <s v="https://sanofiservices.service-now.com/onesupport?id=sc_cat_item&amp;table=sc_cat_item&amp;sys_id=66649e6bdb55430005ea766eaf96199c"/>
    <s v="Not Applicable"/>
    <s v="Per application"/>
    <n v="21.75"/>
    <n v="1.8"/>
    <n v="39.15"/>
    <n v="3"/>
    <s v="Service Owner - Expert - manager follow this link "/>
    <s v="Not Applicable"/>
    <m/>
    <d v="2022-07-26T00:00:00"/>
    <s v="Initial baseline"/>
    <d v="2022-04-01T00:00:00"/>
    <n v="3"/>
    <n v="0.1"/>
    <n v="35.234999999999999"/>
    <m/>
    <x v="1"/>
  </r>
  <r>
    <x v="20"/>
    <x v="0"/>
    <s v="Public_Cloud"/>
    <s v="DB--Cloud"/>
    <x v="10"/>
    <x v="7"/>
    <x v="20"/>
    <s v="L3 Implementation activity : _x000a_Prerequisite check_x000a_IQ – verification &amp; approvalr_x000a_L3 Coordination Activity:_x000a_Application Validation"/>
    <s v="Cloud Database Operations"/>
    <s v="https://sanofiservices.service-now.com/onesupport?id=sc_cat_item_guide&amp;table=sc_cat_item&amp;sys_id=6c7102ccdb8c2850c0dcedc40596190b"/>
    <s v="ITS-CHMOD0004511"/>
    <s v="Per Instance"/>
    <n v="21.75"/>
    <n v="2.7"/>
    <n v="58.725000000000001"/>
    <n v="10"/>
    <s v="Service Owner - Expert - manager follow this link "/>
    <s v="Not Applicable"/>
    <m/>
    <d v="2022-07-26T00:00:00"/>
    <s v="Initial baseline"/>
    <d v="2022-04-01T00:00:00"/>
    <n v="3"/>
    <n v="0.1"/>
    <n v="52.852499999999999"/>
    <m/>
    <x v="1"/>
  </r>
  <r>
    <x v="21"/>
    <x v="0"/>
    <s v="On_Prem"/>
    <s v="DB--Oracle"/>
    <x v="1"/>
    <x v="7"/>
    <x v="21"/>
    <s v="L3 Implementation activity : _x000a_IQ Tasks Validation with Gifts form , evidences to be validated , logs to be checked and final approval : _x000a_L3 Coordination Activity:_x000a_* Co-ordinating with application team to get the requirement _x000a_* Verifying IQ post implementation "/>
    <s v="Oracle Operations"/>
    <s v="https://sanofiservices.service-now.com/onesupport?id=sc_cat_item_guide&amp;table=sc_cat_item&amp;sys_id=8ef52e074f098fc4cb48c0428110c701"/>
    <s v="ITS-CHMOD0001695"/>
    <s v="Per Instance"/>
    <n v="21.75"/>
    <n v="3.6"/>
    <n v="78.3"/>
    <n v="10"/>
    <s v="Service Owner - Expert - manager follow this link "/>
    <s v="Not Applicable"/>
    <m/>
    <d v="2022-07-26T00:00:00"/>
    <s v="Initial baseline"/>
    <d v="2022-04-01T00:00:00"/>
    <n v="3"/>
    <n v="0.1"/>
    <n v="70.47"/>
    <m/>
    <x v="1"/>
  </r>
  <r>
    <x v="22"/>
    <x v="0"/>
    <s v="On_Prem"/>
    <s v="DB--SQL"/>
    <x v="11"/>
    <x v="7"/>
    <x v="22"/>
    <s v="L3 Implementation activity : _x000a_IQ Tasks Validation with Gifts form , evidences to be validated , logs to be checked and final approval : 2 _x000a_L3 Coordination Activity:_x000a_* Co-ordinating with application team to get the requirement :1 hour_x000a_* Verifying IQ post implementation : 1 "/>
    <s v="SQL Server Operations"/>
    <s v="https://sanofiservices.service-now.com/onesupport?id=sc_cat_item_guide&amp;table=sc_cat_item&amp;sys_id=d2802610db198f8805ea766eaf961961"/>
    <s v="ITS-CHMOD0004710"/>
    <s v="Per Instance"/>
    <n v="21.75"/>
    <n v="3.6"/>
    <n v="78.3"/>
    <n v="10"/>
    <s v="Service Owner - Expert - manager follow this link "/>
    <s v="Not Applicable"/>
    <m/>
    <d v="2022-07-26T00:00:00"/>
    <s v="Initial baseline"/>
    <d v="2022-04-01T00:00:00"/>
    <n v="3"/>
    <n v="0.1"/>
    <n v="70.47"/>
    <m/>
    <x v="1"/>
  </r>
  <r>
    <x v="23"/>
    <x v="0"/>
    <s v="Public_Cloud"/>
    <s v="DOTNET--IIS"/>
    <x v="12"/>
    <x v="7"/>
    <x v="23"/>
    <s v="Implementation Activities: _x000a_Execution steps by DOTNET_x000a__x000a_1. Site creation_x000a_2. Site binding _x000a_3. Content placement_x000a_4. IIS module installation. Not mandatory step_x000a_5. New certificate generation."/>
    <s v="Web Digital Operations Link"/>
    <s v="https://sanofiservices.service-now.com/onesupport?id=sc_cat_item_guide&amp;table=sc_cat_item&amp;sys_id=6353706ddb28b810c0dcedc4059619d2"/>
    <s v="ITS-CHMOD0001334"/>
    <s v="Per site creation"/>
    <n v="21.75"/>
    <n v="3.6"/>
    <n v="78.3"/>
    <n v="10"/>
    <s v="Service Owner - Expert - manager follow this link "/>
    <s v="Not Applicable"/>
    <m/>
    <d v="2022-07-26T00:00:00"/>
    <s v="Initial baseline"/>
    <d v="2022-04-01T00:00:00"/>
    <n v="3"/>
    <n v="0.1"/>
    <n v="70.47"/>
    <m/>
    <x v="1"/>
  </r>
  <r>
    <x v="24"/>
    <x v="0"/>
    <s v="Public_Cloud"/>
    <s v="DOTNET--IIS"/>
    <x v="12"/>
    <x v="7"/>
    <x v="24"/>
    <s v="L3 Implementation Activities: _x000a_1. Installation procedure pre-requisite checks _x000a_2. Application installation_x000a_3. Configuration changes_x000a_4. Post installation application verification_x000a_5. Testing of the application functionality"/>
    <s v="Not Applicable"/>
    <s v="Not Applicable"/>
    <s v="ITS-CHMOD0004085"/>
    <s v="Per application"/>
    <n v="21.75"/>
    <n v="9"/>
    <n v="195.75"/>
    <n v="10"/>
    <s v="Service Owner - Expert - manager follow this link "/>
    <s v="Not Applicable"/>
    <m/>
    <d v="2022-07-26T00:00:00"/>
    <s v="Initial baseline"/>
    <d v="2022-04-01T00:00:00"/>
    <n v="3"/>
    <n v="0.1"/>
    <n v="176.17500000000001"/>
    <m/>
    <x v="1"/>
  </r>
  <r>
    <x v="25"/>
    <x v="0"/>
    <s v="On_Prem"/>
    <s v="Java - Apache/Tomcat"/>
    <x v="13"/>
    <x v="7"/>
    <x v="25"/>
    <s v="Co-ordination Activity:_x000a_ Requirement gathering from application teams_x000a__x000a_Implementation activity : _x000a_1. Pre-Requisites Check_x000a_2. Web server and Middleware deployment_x000a_3. Configuration"/>
    <s v="Not Applicable"/>
    <s v="Not Applicable"/>
    <s v="ITS-CHMOD0001332"/>
    <s v="Per Instance"/>
    <n v="21.75"/>
    <n v="5.4"/>
    <n v="117.45"/>
    <n v="7"/>
    <s v="Service Owner - Expert - manager follow this link "/>
    <s v="Not Applicable"/>
    <m/>
    <d v="2022-07-26T00:00:00"/>
    <s v="Initial baseline"/>
    <d v="2022-04-01T00:00:00"/>
    <n v="3"/>
    <n v="0.1"/>
    <n v="105.705"/>
    <m/>
    <x v="1"/>
  </r>
  <r>
    <x v="26"/>
    <x v="0"/>
    <s v="On_Prem"/>
    <s v="Java - Apache/Tomcat"/>
    <x v="13"/>
    <x v="7"/>
    <x v="26"/>
    <s v=" Co-ordination Activity:_x000a_2. Requirement gathering from application teams - _x000a__x000a_ Implementation activity : _x000a_1. Web server and Middleware deployment _x000a_2. IQ document Creation"/>
    <s v="Not Applicable"/>
    <s v="Not Applicable"/>
    <s v="ITS-CHMOD0003114"/>
    <s v="per environment"/>
    <n v="21.75"/>
    <n v="4.5"/>
    <n v="97.875"/>
    <n v="7"/>
    <s v="Service Owner - Expert - manager follow this link "/>
    <s v="Not Applicable"/>
    <m/>
    <d v="2022-07-26T00:00:00"/>
    <s v="Initial baseline"/>
    <d v="2022-04-01T00:00:00"/>
    <n v="3"/>
    <n v="0.1"/>
    <n v="88.087500000000006"/>
    <m/>
    <x v="1"/>
  </r>
  <r>
    <x v="27"/>
    <x v="0"/>
    <s v="On_Prem"/>
    <s v="Java - JBOSS"/>
    <x v="14"/>
    <x v="7"/>
    <x v="27"/>
    <s v="Implementation activity : _x000a_1. Pre-Requisites Check _x000a_2. Installation of the software_x000a_3. Configuration of HA and clustering_x000a_4. Other Configuration changes _x000a_5. Post installation validation/testing "/>
    <s v="Not Applicable"/>
    <s v="Not Applicable"/>
    <s v="ITS-CHMOD0004085"/>
    <s v="Per installation"/>
    <n v="21.75"/>
    <n v="10.8"/>
    <n v="234.9"/>
    <n v="12"/>
    <s v="Service Owner - Expert - manager follow this link "/>
    <s v="Not Applicable"/>
    <m/>
    <d v="2022-07-26T00:00:00"/>
    <s v="Initial baseline"/>
    <d v="2022-04-01T00:00:00"/>
    <n v="3"/>
    <n v="0.1"/>
    <n v="211.41"/>
    <m/>
    <x v="1"/>
  </r>
  <r>
    <x v="28"/>
    <x v="0"/>
    <s v="On_Prem_Public_Cloud"/>
    <s v="SAP"/>
    <x v="15"/>
    <x v="7"/>
    <x v="28"/>
    <s v="New Addition:_x000a_L3 Preparation and Coordination Activities:_x000a_Validating the Installable compatibilty and Downloading Installables_x000a_Reviewing Notes_x000a__x000a_L3 Implementation Activities:_x000a__x000a_1. Planning_x000a_    Planning Checklist_x000a_    Changed File System Structure and Profiles for SAP Systems_x000a_    Installation Using a Stack Configuration File_x000a_    Hardware and Software Requirements_x000a_    Basic Installation Parameters (both SAP and DB)_x000a_    SAP System Transport Host_x000a__x000a_2. Preparation_x000a_    Preparation Checklist_x000a_    Creating Operating System Users and Groups_x000a_    Required File Systems and Directories_x000a_    SAP/DB Directories_x000a_    Preparing the Installation Media_x000a_    Downloading the Software Provisioning Manager_x000a_    Downloading SAP Kernel _x000a_    Downloading the Complete Installation Media_x000a__x000a_3. Installation _x000a_   Database Software Installation_x000a_   SAP Installation _x000a__x000a_4. Post-Installation _x000a_   Installing the SAP License_x000a_   Performing the Consistency Check_x000a_   Configuring the Change and Transport System_x000a_   Performing Post-Installation Steps for the ABAP Application Server_x000a_   Performing the Client Copy_x000a_   Performing Oracle-Specific Post-Installation Steps_x000a_   Performing a Full Installation Backup"/>
    <s v="Not Applicable"/>
    <s v="Not Applicable"/>
    <s v="Not Applicable"/>
    <s v="Per installation"/>
    <n v="21.75"/>
    <n v="32.4"/>
    <n v="704.69999999999993"/>
    <n v="4"/>
    <s v="Service Owner - Expert - manager follow this link "/>
    <s v="Not Applicable"/>
    <m/>
    <d v="2022-07-26T00:00:00"/>
    <s v="Initial baseline"/>
    <d v="2022-04-01T00:00:00"/>
    <n v="3"/>
    <n v="0.1"/>
    <n v="634.2299999999999"/>
    <m/>
    <x v="1"/>
  </r>
  <r>
    <x v="29"/>
    <x v="0"/>
    <s v="Public_Cloud"/>
    <s v="Unix "/>
    <x v="16"/>
    <x v="7"/>
    <x v="29"/>
    <s v="Prerequisite check_x000a_IQ – verification &amp; approval"/>
    <s v="Public Cloud - AWS or GCP - Windows &amp; Linux Server (Standard, IIS, JBoss, Apache)"/>
    <s v="https://sanofiservices.service-now.com/onesupport?id=sc_cat_item_guide&amp;table=sc_cat_item&amp;sys_id=ec57c51b1bd3fb8017d3fddacd4bcb9b"/>
    <s v="ITS-CHMOD0003952"/>
    <s v="Per VM"/>
    <n v="21.75"/>
    <n v="1.8"/>
    <n v="39.15"/>
    <n v="7"/>
    <s v="Service Owner - Expert - manager follow this link "/>
    <s v="Not Applicable"/>
    <s v="Prerequisite check_x000a_IQ – verification &amp; approval. Along with this we are good with end to end build process."/>
    <d v="2022-07-26T00:00:00"/>
    <s v="Initial baseline"/>
    <d v="2022-04-01T00:00:00"/>
    <n v="3"/>
    <n v="0.1"/>
    <n v="35.234999999999999"/>
    <m/>
    <x v="1"/>
  </r>
  <r>
    <x v="30"/>
    <x v="0"/>
    <s v="On_Prem"/>
    <s v="Unix "/>
    <x v="17"/>
    <x v="7"/>
    <x v="30"/>
    <s v="L3 Implementation Activities:_x000a_VCEM profile- if its a blade server build its applicable, incase of rack mount server build same task will be skipped._x000a_Post build Customization-  bonding and IP details configuration_x000a__x000a__x000a_L3 Co-ordination Activities:_x000a_Gather requirement in GIFT form and verify GIFT and ensure completeness._x000a_Prepare and Approve IQ document ."/>
    <s v="Not Applicable"/>
    <s v="Not Applicable"/>
    <s v="ITS-CHMOD0001326"/>
    <s v="per blade"/>
    <n v="21.75"/>
    <n v="5.5"/>
    <n v="119.625"/>
    <n v="5"/>
    <s v="Service Owner - Expert - manager follow this link "/>
    <s v="Not Applicable"/>
    <s v="i) if the server is a bladeserver, VCEM profile and vswitch configuration task applicable. If rack mounted server this wont applicable._x000a_Ii) in GIFT form ILO details(IP and credentials) and Network information details need to be provided._x000a_Iii) If all required details provided in GIFT form given time lines applicable."/>
    <d v="2022-07-26T00:00:00"/>
    <s v="Initial baseline"/>
    <d v="2022-04-01T00:00:00"/>
    <n v="3"/>
    <n v="0.1"/>
    <n v="107.66249999999999"/>
    <m/>
    <x v="1"/>
  </r>
  <r>
    <x v="31"/>
    <x v="0"/>
    <s v="Public_Cloud"/>
    <s v="WINDOWS"/>
    <x v="18"/>
    <x v="7"/>
    <x v="31"/>
    <s v="_x0009_- Prerequisite check_x000a__x0009_- IQ – verification &amp; approval"/>
    <s v="Public Cloud - AWS or GCP - Windows &amp; Linux Server (Standard, IIS, JBoss, Apache)"/>
    <s v="https://sanofiservices.service-now.com/onesupport?id=sc_cat_item_guide&amp;table=sc_cat_item&amp;sys_id=ec57c51b1bd3fb8017d3fddacd4bcb9b"/>
    <s v="ITS-CHMOD0003951"/>
    <s v="Per VM"/>
    <n v="21.75"/>
    <n v="1.8"/>
    <n v="39.15"/>
    <n v="7"/>
    <s v="Service Owner - Expert - manager follow this link "/>
    <s v="Not Applicable"/>
    <m/>
    <d v="2022-07-26T00:00:00"/>
    <s v="Initial baseline"/>
    <d v="2022-04-01T00:00:00"/>
    <n v="3"/>
    <n v="0.1"/>
    <n v="35.234999999999999"/>
    <m/>
    <x v="1"/>
  </r>
  <r>
    <x v="32"/>
    <x v="0"/>
    <s v="On_Prem/ Cloud"/>
    <s v="API"/>
    <x v="0"/>
    <x v="7"/>
    <x v="32"/>
    <s v="1.Portal in Test Namespace _x000a_2. Implement  multitenant architecture aligned with Sanofi internal API Team_x000a_3. Deploy in DEV and UAT _x000a_4. deploy in PROD _x000a_5. Other steps to be aligned with the project"/>
    <s v="Not Applicable"/>
    <s v="Not Applicable"/>
    <s v="Not Applicable"/>
    <s v="Per Server"/>
    <n v="21.75"/>
    <n v="1.5"/>
    <n v="32.625"/>
    <n v="3"/>
    <s v="Service Owner - Expert - manager follow this link "/>
    <s v="Not Applicable"/>
    <m/>
    <d v="2023-06-09T00:00:00"/>
    <s v="V0.4"/>
    <d v="2023-06-09T00:00:00"/>
    <n v="2"/>
    <n v="0.1"/>
    <n v="29.362500000000001"/>
    <m/>
    <x v="1"/>
  </r>
  <r>
    <x v="33"/>
    <x v="0"/>
    <s v="On_Prem/ Cloud"/>
    <s v="API"/>
    <x v="0"/>
    <x v="8"/>
    <x v="33"/>
    <s v="1. Taking Back -up of previous version - Files/codes/mysql/gateway_x000a_2. Check the infrastructure if it is onpremise or container following the API Team requirements _x000a_3. Copy the new version files, upload and install _x000a_4. Update the dependency as per the version(oauth, mag services)_x000a_5. Restarting the server &amp; post installation validation - _x000a_6. Validation document IQF creation "/>
    <s v="Not Applicable"/>
    <s v="Not Applicable"/>
    <s v="Not Applicable"/>
    <s v="Per Server/Per Version Upgrade"/>
    <n v="21.75"/>
    <n v="2"/>
    <n v="43.5"/>
    <n v="3"/>
    <s v="Service Owner - Expert - manager follow this link "/>
    <s v="Not Applicable"/>
    <m/>
    <d v="2023-06-09T00:00:00"/>
    <s v="V0.4"/>
    <d v="2023-06-09T00:00:00"/>
    <n v="2"/>
    <n v="0.1"/>
    <n v="39.15"/>
    <m/>
    <x v="1"/>
  </r>
  <r>
    <x v="34"/>
    <x v="0"/>
    <s v="On_Prem/ Cloud"/>
    <s v="API"/>
    <x v="0"/>
    <x v="5"/>
    <x v="34"/>
    <s v="Viviane to review_x000a_1. Validation of the Identified API Objects for decomm readiness_x000a_2. switch Off Monitoring and Configurations to be untagged_x000a_3. Shut down API components"/>
    <s v="Not Applicable"/>
    <s v="Not Applicable"/>
    <s v="Not Applicable"/>
    <s v="Per Server"/>
    <n v="21.75"/>
    <n v="1"/>
    <n v="21.75"/>
    <n v="28"/>
    <s v="Service Owner - Expert - manager follow this link "/>
    <s v="Not Applicable"/>
    <m/>
    <d v="2022-07-26T00:00:00"/>
    <s v="Initial baseline"/>
    <d v="2022-04-01T00:00:00"/>
    <n v="3"/>
    <n v="0.1"/>
    <n v="19.574999999999999"/>
    <m/>
    <x v="1"/>
  </r>
  <r>
    <x v="35"/>
    <x v="0"/>
    <s v="On_Prem"/>
    <s v="Appian/BPM"/>
    <x v="19"/>
    <x v="7"/>
    <x v="35"/>
    <s v="L3 Implementation Activities: _x000a_1. Installation procedure pre-requisite checks _x000a_2. Application re-installation/migration_x000a_3. Configuration changes_x000a_4. Post installation application verification_x000a_5. Testing of the application functionality"/>
    <s v="APPIAN PLATFORM Application Deployment request"/>
    <s v="https://sanofiservices.service-now.com/onesupport?id=sc_cat_item&amp;table=sc_cat_item&amp;sys_id=6fa5cb161baaf7c417d3fddacd4bcb4b"/>
    <s v="ITS-CHMOD0003114_x000a_ITS-CHMOD0003117"/>
    <s v="Per Server"/>
    <n v="21.75"/>
    <n v="22.099999999999998"/>
    <n v="480.67499999999995"/>
    <n v="15"/>
    <s v="Service Owner - Expert - manager follow this link "/>
    <s v="Not Applicable"/>
    <m/>
    <d v="2022-07-26T00:00:00"/>
    <s v="Initial baseline"/>
    <d v="2022-04-01T00:00:00"/>
    <n v="3"/>
    <n v="0.1"/>
    <n v="432.60749999999996"/>
    <m/>
    <x v="1"/>
  </r>
  <r>
    <x v="36"/>
    <x v="0"/>
    <s v="Public_Cloud"/>
    <s v="Apache/Tomcat"/>
    <x v="13"/>
    <x v="7"/>
    <x v="25"/>
    <s v="Co-ordination Activity:_x000a_ Requirement gathering from application teams_x000a__x000a_Implementation activity : _x000a_1. Pre-Requisites Check _x000a_2. Web server and Middleware deployment_x000a_3. Configuration"/>
    <s v="Not Applicable"/>
    <s v="Not Applicable"/>
    <s v="ITS-CHMOD0001332"/>
    <s v="Per Instance"/>
    <n v="21.75"/>
    <n v="5.0999999999999996"/>
    <n v="110.925"/>
    <n v="7"/>
    <s v="Service Owner - Expert - manager follow this link "/>
    <s v="Not Applicable"/>
    <m/>
    <d v="2022-07-26T00:00:00"/>
    <s v="Initial baseline"/>
    <d v="2022-04-01T00:00:00"/>
    <n v="3"/>
    <n v="0.1"/>
    <n v="99.832499999999996"/>
    <m/>
    <x v="1"/>
  </r>
  <r>
    <x v="37"/>
    <x v="0"/>
    <s v="Public_Cloud"/>
    <s v="Apache/Tomcat"/>
    <x v="13"/>
    <x v="7"/>
    <x v="26"/>
    <s v=" Co-ordination Activity:_x000a_2. Requirement gathering from application teams_x000a__x000a_ Implementation activity : _x000a_1. Web server and Middleware deployment_x000a_2. IQ document Creation"/>
    <s v="Not Applicable"/>
    <s v="Not Applicable"/>
    <s v="ITS-CHMOD0003114"/>
    <s v="per environment"/>
    <n v="21.75"/>
    <n v="5.0999999999999996"/>
    <n v="110.925"/>
    <n v="7"/>
    <s v="Service Owner - Expert - manager follow this link "/>
    <s v="Not Applicable"/>
    <m/>
    <d v="2022-07-26T00:00:00"/>
    <s v="Initial baseline"/>
    <d v="2022-04-01T00:00:00"/>
    <n v="3"/>
    <n v="0.1"/>
    <n v="99.832499999999996"/>
    <m/>
    <x v="1"/>
  </r>
  <r>
    <x v="38"/>
    <x v="0"/>
    <s v="Public_Cloud"/>
    <s v="Apache/Tomcat"/>
    <x v="13"/>
    <x v="7"/>
    <x v="36"/>
    <s v="Implementation activity : _x000a_1. Pre-Requisites Check_x000a_2. Installation of the software_x000a_3. Configuration changes_x000a_4. Post installation validation/testing"/>
    <s v="Not Applicable"/>
    <s v="Not Applicable"/>
    <s v="Not Applicable"/>
    <s v="Per installation"/>
    <n v="21.75"/>
    <n v="6.8"/>
    <n v="147.9"/>
    <n v="10"/>
    <s v="Service Owner - Expert - manager follow this link "/>
    <s v="Not Applicable"/>
    <m/>
    <d v="2022-07-26T00:00:00"/>
    <s v="Initial baseline"/>
    <d v="2022-04-01T00:00:00"/>
    <n v="3"/>
    <n v="0.1"/>
    <n v="133.11000000000001"/>
    <m/>
    <x v="1"/>
  </r>
  <r>
    <x v="39"/>
    <x v="0"/>
    <s v="Public_Cloud"/>
    <s v="Apache/Tomcat"/>
    <x v="13"/>
    <x v="7"/>
    <x v="27"/>
    <s v="Implementation activity : _x000a_1. Pre-Requisites Check_x000a_2. Installation of the software_x000a_3. Configuration of HA and clustering_x000a_4. Other Configuration changes_x000a_5. Post installation validation/testing "/>
    <s v="Not Applicable"/>
    <s v="Not Applicable"/>
    <s v="Not Applicable"/>
    <s v="Per installation"/>
    <n v="21.75"/>
    <n v="6.8"/>
    <n v="147.9"/>
    <n v="12"/>
    <s v="Service Owner - Expert - manager follow this link "/>
    <s v="Not Applicable"/>
    <m/>
    <d v="2022-07-26T00:00:00"/>
    <s v="Initial baseline"/>
    <d v="2022-04-01T00:00:00"/>
    <n v="3"/>
    <n v="0.1"/>
    <n v="133.11000000000001"/>
    <m/>
    <x v="1"/>
  </r>
  <r>
    <x v="40"/>
    <x v="0"/>
    <s v="On_Prem"/>
    <s v="BI--App Deployments"/>
    <x v="20"/>
    <x v="7"/>
    <x v="37"/>
    <s v="L3 Implementation Activities:_x000a_Deployment pre-requisites_x000a_App Deployment_x000a_Configuration Changes_x000a_Post deployment application validation testing"/>
    <s v="Business Intelligence (BI) - CreatioNot Applicabledministration/Configuration"/>
    <s v="https://sanofiservices.service-now.com/onesupport?id=sc_cat_item&amp;table=sc_cat_item&amp;sys_id=75205b064fa9cf40cb48c0428110c778"/>
    <s v="Not Applicable"/>
    <s v="Per Deployment"/>
    <n v="21.75"/>
    <n v="5"/>
    <n v="108.75"/>
    <n v="7"/>
    <s v="Service Owner - Expert - manager follow this link "/>
    <s v="Not Applicable"/>
    <m/>
    <d v="2022-07-26T00:00:00"/>
    <s v="Initial baseline"/>
    <d v="2022-04-01T00:00:00"/>
    <n v="3"/>
    <n v="0.1"/>
    <n v="97.875"/>
    <m/>
    <x v="1"/>
  </r>
  <r>
    <x v="41"/>
    <x v="0"/>
    <s v="Public_Cloud"/>
    <s v="BI--Cloud"/>
    <x v="21"/>
    <x v="7"/>
    <x v="38"/>
    <s v="L3 Implementation Activities:_x000a_Installation _x000a_Configuration Changes _x000a_Testing"/>
    <s v="Not Applicable"/>
    <s v="Not Applicable"/>
    <s v="Not Applicable"/>
    <s v="Per Unit"/>
    <n v="21.75"/>
    <n v="18.7"/>
    <n v="406.72499999999997"/>
    <n v="10"/>
    <s v="Service Owner - Expert - manager follow this link "/>
    <s v="Not Applicable"/>
    <m/>
    <d v="2022-07-26T00:00:00"/>
    <s v="Initial baseline"/>
    <d v="2022-04-01T00:00:00"/>
    <n v="3"/>
    <n v="0.1"/>
    <n v="366.05249999999995"/>
    <m/>
    <x v="1"/>
  </r>
  <r>
    <x v="42"/>
    <x v="0"/>
    <s v="On_Prem"/>
    <s v="BI--Cognos/TM1"/>
    <x v="22"/>
    <x v="7"/>
    <x v="39"/>
    <s v="L3 Implementation Activities:_x000a_Application Installation_x000a_Configuration Changes_x000a_Testing"/>
    <s v="Business Intelligence (BI) - CreatioNot Applicabledministration/Configuration"/>
    <s v="https://sanofiservices.service-now.com/onesupport?id=sc_cat_item&amp;table=sc_cat_item&amp;sys_id=75205b064fa9cf40cb48c0428110c778"/>
    <s v="Not Applicable"/>
    <s v="Per Unit"/>
    <n v="21.75"/>
    <n v="13.6"/>
    <n v="295.8"/>
    <n v="10"/>
    <s v="Service Owner - Expert - manager follow this link "/>
    <s v="Not Applicable"/>
    <m/>
    <d v="2022-07-26T00:00:00"/>
    <s v="Initial baseline"/>
    <d v="2022-04-01T00:00:00"/>
    <n v="3"/>
    <n v="0.1"/>
    <n v="266.22000000000003"/>
    <m/>
    <x v="1"/>
  </r>
  <r>
    <x v="43"/>
    <x v="0"/>
    <s v="On_Prem"/>
    <s v="BI--Package Deployments"/>
    <x v="23"/>
    <x v="7"/>
    <x v="40"/>
    <s v="L3 Implementation Activities:_x000a_Deployment pre-requisites_x000a_Package Deployment_x000a_Configuration Changes_x000a_Post deployment testing"/>
    <s v="Not Applicable"/>
    <s v="Not Applicable"/>
    <s v="Not Applicable"/>
    <s v="Per Deployment"/>
    <n v="21.75"/>
    <n v="5.0999999999999996"/>
    <n v="110.925"/>
    <n v="7"/>
    <s v="Service Owner - Expert - manager follow this link "/>
    <s v="Not Applicable"/>
    <m/>
    <d v="2022-07-26T00:00:00"/>
    <s v="Initial baseline"/>
    <d v="2022-04-01T00:00:00"/>
    <n v="3"/>
    <n v="0.1"/>
    <n v="99.832499999999996"/>
    <m/>
    <x v="1"/>
  </r>
  <r>
    <x v="44"/>
    <x v="0"/>
    <s v="Public_Cloud"/>
    <s v="BI--QLIKSENSE"/>
    <x v="24"/>
    <x v="7"/>
    <x v="38"/>
    <s v="L3 Implementation Activities:_x000a_Installation_x000a_Configuration Change_x000a_Testing"/>
    <s v="Not Applicable"/>
    <s v="Not Applicable"/>
    <s v="Not Applicable"/>
    <s v="Per Unit"/>
    <n v="21.75"/>
    <n v="20.399999999999999"/>
    <n v="443.7"/>
    <n v="10"/>
    <s v="Service Owner - Expert - manager follow this link "/>
    <s v="Not Applicable"/>
    <m/>
    <d v="2022-07-26T00:00:00"/>
    <s v="Initial baseline"/>
    <d v="2022-04-01T00:00:00"/>
    <n v="3"/>
    <n v="0.1"/>
    <n v="399.33"/>
    <m/>
    <x v="1"/>
  </r>
  <r>
    <x v="45"/>
    <x v="0"/>
    <s v="Public_Cloud"/>
    <s v="BI--QLIKSENSE"/>
    <x v="24"/>
    <x v="7"/>
    <x v="39"/>
    <s v="L3 Implementation Activities:_x000a_Installation_x000a_Configuration Change_x000a_Testing"/>
    <s v="Business Intelligence (BI) - CreatioNot Applicabledministration/Configuration"/>
    <s v="https://sanofiservices.service-now.com/onesupport?id=sc_cat_item&amp;table=sc_cat_item&amp;sys_id=75205b064fa9cf40cb48c0428110c778"/>
    <s v="Not Applicable"/>
    <s v="Per Unit"/>
    <n v="21.75"/>
    <n v="17"/>
    <n v="369.75"/>
    <n v="10"/>
    <s v="Service Owner - Expert - manager follow this link "/>
    <s v="Not Applicable"/>
    <m/>
    <d v="2022-07-26T00:00:00"/>
    <s v="Initial baseline"/>
    <d v="2022-04-01T00:00:00"/>
    <n v="3"/>
    <n v="0.1"/>
    <n v="332.77499999999998"/>
    <m/>
    <x v="1"/>
  </r>
  <r>
    <x v="46"/>
    <x v="0"/>
    <s v="On_Prem"/>
    <s v="BI--SAP BO"/>
    <x v="25"/>
    <x v="7"/>
    <x v="41"/>
    <s v="L3 Implementation Activities:_x000a_Application Installation_x000a_Configuration Changes_x000a_Testing"/>
    <s v="Not Applicable"/>
    <s v="Not Applicable"/>
    <s v="Not Applicable"/>
    <s v="Per Unit"/>
    <n v="21.75"/>
    <n v="30.599999999999998"/>
    <n v="665.55"/>
    <n v="14"/>
    <s v="Service Owner - Expert - manager follow this link "/>
    <s v="Not Applicable"/>
    <m/>
    <d v="2022-07-26T00:00:00"/>
    <s v="Initial baseline"/>
    <d v="2022-04-01T00:00:00"/>
    <n v="3"/>
    <n v="0.1"/>
    <n v="598.995"/>
    <m/>
    <x v="1"/>
  </r>
  <r>
    <x v="47"/>
    <x v="0"/>
    <s v="On_Prem"/>
    <s v="BI--SAP BO"/>
    <x v="25"/>
    <x v="7"/>
    <x v="42"/>
    <s v="L3 Implementation Activities:_x000a_Installation_x000a_Configuration Change_x000a_Testing"/>
    <s v="Not Applicable"/>
    <s v="Not Applicable"/>
    <s v="Not Applicable"/>
    <s v="Per Unit"/>
    <n v="21.75"/>
    <n v="8"/>
    <n v="174"/>
    <n v="10"/>
    <s v="Service Owner - Expert - manager follow this link "/>
    <s v="Not Applicable"/>
    <m/>
    <d v="2022-07-26T00:00:00"/>
    <s v="Initial baseline"/>
    <d v="2022-04-01T00:00:00"/>
    <n v="3"/>
    <n v="0.1"/>
    <n v="156.6"/>
    <m/>
    <x v="1"/>
  </r>
  <r>
    <x v="48"/>
    <x v="0"/>
    <s v="On_Prem"/>
    <s v="BI--SAP BO"/>
    <x v="25"/>
    <x v="7"/>
    <x v="39"/>
    <s v="L3 Implementation Activities:_x000a_Application Installation_x000a_Configuration Changes_x000a_Testing"/>
    <s v="Business Intelligence (BI) - CreatioNot Applicabledministration/Configuration"/>
    <s v="https://sanofiservices.service-now.com/onesupport?id=sc_cat_item&amp;table=sc_cat_item&amp;sys_id=75205b064fa9cf40cb48c0428110c778"/>
    <s v="Not Applicable"/>
    <s v="Per Unit"/>
    <n v="21.75"/>
    <n v="12"/>
    <n v="261"/>
    <n v="10"/>
    <s v="Service Owner - Expert - manager follow this link "/>
    <s v="Not Applicable"/>
    <m/>
    <d v="2022-07-26T00:00:00"/>
    <s v="Initial baseline"/>
    <d v="2022-04-01T00:00:00"/>
    <n v="3"/>
    <n v="0.1"/>
    <n v="234.9"/>
    <m/>
    <x v="1"/>
  </r>
  <r>
    <x v="49"/>
    <x v="0"/>
    <s v="On_Prem"/>
    <s v="BI--SAS Analytics"/>
    <x v="26"/>
    <x v="7"/>
    <x v="43"/>
    <s v="L3 Implementation Activities:_x000a_Installation_x000a_Configuration Change_x000a_Testing"/>
    <s v="Not Applicable"/>
    <s v="Not Applicable"/>
    <s v="Not Applicable"/>
    <s v="Per Unit"/>
    <n v="21.75"/>
    <n v="15.299999999999999"/>
    <n v="332.77499999999998"/>
    <n v="10"/>
    <s v="Service Owner - Expert - manager follow this link "/>
    <s v="Not Applicable"/>
    <m/>
    <d v="2022-07-26T00:00:00"/>
    <s v="Initial baseline"/>
    <d v="2022-04-01T00:00:00"/>
    <n v="3"/>
    <n v="0.1"/>
    <n v="299.4975"/>
    <m/>
    <x v="1"/>
  </r>
  <r>
    <x v="50"/>
    <x v="0"/>
    <s v="On_Prem"/>
    <s v="BI--SAS Analytics"/>
    <x v="26"/>
    <x v="7"/>
    <x v="44"/>
    <s v="L3 Implementation Activities:_x000a_Application Installation_x000a_Configuration Changes_x000a_Testing"/>
    <s v="Not Applicable"/>
    <s v="Not Applicable"/>
    <s v="Not Applicable"/>
    <s v="Per Unit"/>
    <n v="21.75"/>
    <n v="15.299999999999999"/>
    <n v="332.77499999999998"/>
    <n v="10"/>
    <s v="Service Owner - Expert - manager follow this link "/>
    <s v="Not Applicable"/>
    <m/>
    <d v="2022-07-26T00:00:00"/>
    <s v="Initial baseline"/>
    <d v="2022-04-01T00:00:00"/>
    <n v="3"/>
    <n v="0.1"/>
    <n v="299.4975"/>
    <m/>
    <x v="1"/>
  </r>
  <r>
    <x v="51"/>
    <x v="0"/>
    <s v="On_Prem"/>
    <s v="BI--Tableau"/>
    <x v="27"/>
    <x v="7"/>
    <x v="41"/>
    <s v="L3 Implementation Activities:_x000a_Installation_x000a_Configuration Change_x000a_Testing"/>
    <s v="Not Applicable"/>
    <s v="Not Applicable"/>
    <s v="Not Applicable"/>
    <s v="Per Unit"/>
    <n v="21.75"/>
    <n v="17"/>
    <n v="369.75"/>
    <n v="14"/>
    <s v="Service Owner - Expert - manager follow this link "/>
    <s v="Not Applicable"/>
    <m/>
    <d v="2022-07-26T00:00:00"/>
    <s v="Initial baseline"/>
    <d v="2022-04-01T00:00:00"/>
    <n v="3"/>
    <n v="0.1"/>
    <n v="332.77499999999998"/>
    <m/>
    <x v="1"/>
  </r>
  <r>
    <x v="52"/>
    <x v="0"/>
    <s v="On_Prem"/>
    <s v="BI--Tableau"/>
    <x v="27"/>
    <x v="7"/>
    <x v="42"/>
    <s v="L3 Implementation Activities:_x000a_Application Installation_x000a_Configuration Changes_x000a_Testing"/>
    <s v="Not Applicable"/>
    <s v="Not Applicable"/>
    <s v="Not Applicable"/>
    <s v="Per Unit"/>
    <n v="21.75"/>
    <n v="11.9"/>
    <n v="258.82499999999999"/>
    <n v="10"/>
    <s v="Service Owner - Expert - manager follow this link "/>
    <s v="Not Applicable"/>
    <m/>
    <d v="2022-07-26T00:00:00"/>
    <s v="Initial baseline"/>
    <d v="2022-04-01T00:00:00"/>
    <n v="3"/>
    <n v="0.1"/>
    <n v="232.9425"/>
    <m/>
    <x v="1"/>
  </r>
  <r>
    <x v="53"/>
    <x v="0"/>
    <s v="On_Prem"/>
    <s v="BI--Tableau"/>
    <x v="27"/>
    <x v="7"/>
    <x v="39"/>
    <s v="L3 Implementation Activities:_x000a_Installation_x000a_Configuration Change_x000a_Testing"/>
    <s v="Business Intelligence (BI) - CreatioNot Applicabledministration/Configuration"/>
    <s v="https://sanofiservices.service-now.com/onesupport?id=sc_cat_item&amp;table=sc_cat_item&amp;sys_id=75205b064fa9cf40cb48c0428110c778"/>
    <s v="Not Applicable"/>
    <s v="Per Unit"/>
    <n v="21.75"/>
    <n v="20.399999999999999"/>
    <n v="443.7"/>
    <n v="10"/>
    <s v="Service Owner - Expert - manager follow this link "/>
    <s v="Not Applicable"/>
    <m/>
    <d v="2022-07-26T00:00:00"/>
    <s v="Initial baseline"/>
    <d v="2022-04-01T00:00:00"/>
    <n v="3"/>
    <n v="0.1"/>
    <n v="399.33"/>
    <m/>
    <x v="1"/>
  </r>
  <r>
    <x v="54"/>
    <x v="0"/>
    <s v="On_Prem"/>
    <s v="BI--Tibco Spotfire"/>
    <x v="28"/>
    <x v="7"/>
    <x v="45"/>
    <s v="L3 Implementation Activities:_x000a_Application Installation_x000a_Configuration Changes_x000a_Testing"/>
    <s v="Not Applicable"/>
    <s v="Not Applicable"/>
    <s v="Not Applicable"/>
    <s v="Per Unit"/>
    <n v="21.75"/>
    <n v="11.9"/>
    <n v="258.82499999999999"/>
    <n v="10"/>
    <s v="Service Owner - Expert - manager follow this link "/>
    <s v="Not Applicable"/>
    <m/>
    <d v="2022-07-26T00:00:00"/>
    <s v="Initial baseline"/>
    <d v="2022-04-01T00:00:00"/>
    <n v="3"/>
    <n v="0.1"/>
    <n v="232.9425"/>
    <m/>
    <x v="1"/>
  </r>
  <r>
    <x v="55"/>
    <x v="0"/>
    <s v="On_Prem"/>
    <s v="BI--Tibco Spotfire"/>
    <x v="28"/>
    <x v="7"/>
    <x v="39"/>
    <s v="L3 Implementation Activities:_x000a_Installation_x000a_Configuration Change_x000a_Testing"/>
    <s v="Business Intelligence (BI) - CreatioNot Applicabledministration/Configuration"/>
    <s v="https://sanofiservices.service-now.com/onesupport?id=sc_cat_item&amp;table=sc_cat_item&amp;sys_id=75205b064fa9cf40cb48c0428110c778"/>
    <s v="Not Applicable"/>
    <s v="Per Unit"/>
    <n v="21.75"/>
    <n v="13.6"/>
    <n v="295.8"/>
    <n v="10"/>
    <s v="Service Owner - Expert - manager follow this link "/>
    <s v="Not Applicable"/>
    <m/>
    <d v="2022-07-26T00:00:00"/>
    <s v="Initial baseline"/>
    <d v="2022-04-01T00:00:00"/>
    <n v="3"/>
    <n v="0.1"/>
    <n v="266.22000000000003"/>
    <m/>
    <x v="1"/>
  </r>
  <r>
    <x v="56"/>
    <x v="0"/>
    <s v="On_Prem"/>
    <s v="Citrix"/>
    <x v="9"/>
    <x v="7"/>
    <x v="46"/>
    <s v="L3 Implementation Activity details:_x000a__x000a_1. Install Microsoft .NET Framework _x000a_2. Enable .Net features_x000a_3. Install StoreFront_x000a_4. Configure firewall to allow port 80 &amp; 443_x000a_5. Create site_x000a_6. Customise StoreFront"/>
    <s v="Not Applicable"/>
    <s v="Not Applicable"/>
    <s v="Not Applicable"/>
    <s v="Per Storefront"/>
    <n v="21.75"/>
    <n v="24"/>
    <n v="522"/>
    <n v="5"/>
    <s v="Service Owner - Expert - manager follow this link "/>
    <s v="Not Applicable"/>
    <m/>
    <d v="2022-07-26T00:00:00"/>
    <s v="Initial baseline"/>
    <d v="2022-04-01T00:00:00"/>
    <n v="3"/>
    <n v="0.1"/>
    <n v="469.8"/>
    <m/>
    <x v="1"/>
  </r>
  <r>
    <x v="57"/>
    <x v="0"/>
    <s v="On_Prem"/>
    <s v="DB--Oracle"/>
    <x v="1"/>
    <x v="7"/>
    <x v="47"/>
    <s v="L3 Co-ordination Activity:_x000a_* Gather requirement in GAHS form and verify GAHS and ensure completeness_x000a_* Co-ordination with L2 UNIX and  SAN team for storage allocation_x000a__x000a_L3 Implementaion activity : _x000a_ * Addition of new ASM disks to the existing diskgroups. : _x000a_ * Oracle RAC instance creation on primary node _x000a_ * Addition of second instance to the RAC database_x000a_ * Perform a HA test :"/>
    <s v="Oracle Operations"/>
    <s v="https://sanofiservices.service-now.com/onesupport?id=sc_cat_item_guide&amp;table=sc_cat_item&amp;sys_id=8ef52e074f098fc4cb48c0428110c701"/>
    <s v="ITS-CHMOD0001395"/>
    <s v="per CDB"/>
    <n v="21.75"/>
    <n v="8"/>
    <n v="174"/>
    <n v="21"/>
    <s v="Service Owner - Expert - manager follow this link "/>
    <s v="Not Applicable"/>
    <m/>
    <d v="2022-07-26T00:00:00"/>
    <s v="Initial baseline"/>
    <d v="2022-04-01T00:00:00"/>
    <n v="3"/>
    <n v="0.1"/>
    <n v="156.6"/>
    <m/>
    <x v="1"/>
  </r>
  <r>
    <x v="58"/>
    <x v="0"/>
    <s v="On_Prem"/>
    <s v="DB--Oracle"/>
    <x v="1"/>
    <x v="8"/>
    <x v="48"/>
    <s v="L3 Implementation Activities:_x000a_- Create the target platform for the migration_x000a_- Migrate using RMAN / Final review before release_x000a__x000a_L3 Coordination Activities : _x000a_Meeting to understand the complexity/ architecture "/>
    <s v="Oracle Operations"/>
    <s v="https://sanofiservices.service-now.com/onesupport?id=sc_cat_item_guide&amp;table=sc_cat_item&amp;sys_id=8ef52e074f098fc4cb48c0428110c701"/>
    <s v="ITS-CHMOD0001381"/>
    <s v="Per database"/>
    <n v="21.75"/>
    <n v="20"/>
    <n v="435"/>
    <n v="21"/>
    <s v="Service Owner - Expert - manager follow this link "/>
    <s v="Not Applicable"/>
    <m/>
    <d v="2022-07-26T00:00:00"/>
    <s v="Initial baseline"/>
    <d v="2022-04-01T00:00:00"/>
    <n v="3"/>
    <n v="0.1"/>
    <n v="391.5"/>
    <m/>
    <x v="1"/>
  </r>
  <r>
    <x v="59"/>
    <x v="0"/>
    <s v="On_Prem"/>
    <s v="DB--Oracle"/>
    <x v="1"/>
    <x v="8"/>
    <x v="49"/>
    <s v="L3 Activities: _x000a_Plan A: Migrate using Export/Import (traditional export/Datapump)_x000a_- Create database in target host -2_x000a_- Take backup and apply the backup in target database 2_x000a_Plan B: Migrate using RMAN Backup _x000a_- Create database instance in target server -2 _x000a_- Apply the backup in the target database -2"/>
    <s v="Oracle Operations"/>
    <s v="https://sanofiservices.service-now.com/onesupport?id=sc_cat_item_guide&amp;table=sc_cat_item&amp;sys_id=8ef52e074f098fc4cb48c0428110c701"/>
    <s v="ITS-CHMOD0000431"/>
    <s v="Per Database "/>
    <n v="21.75"/>
    <n v="4"/>
    <n v="87"/>
    <n v="10"/>
    <s v="Service Owner - Expert - manager follow this link "/>
    <s v="Not Applicable"/>
    <m/>
    <d v="2022-07-26T00:00:00"/>
    <s v="Initial baseline"/>
    <d v="2022-04-01T00:00:00"/>
    <n v="3"/>
    <n v="0.1"/>
    <n v="78.3"/>
    <m/>
    <x v="1"/>
  </r>
  <r>
    <x v="60"/>
    <x v="0"/>
    <s v="On_Prem"/>
    <s v="DB--Oracle"/>
    <x v="1"/>
    <x v="9"/>
    <x v="50"/>
    <s v="L3 Co-ordination Activity:_x000a_* Gather requirement in GIFT form and verify GIFT and ensure completeness.s_x000a_* Co-ordination with L2 UNIX/ SAN/ NETWORK TEAM for storage. _x000a_* Coordination for DR testing. : _x000a__x000a_L3 Implementaion activity :_x000a_ * Addition of new ASM disks to the existing diskgroups. : _x000a_ * Clusterwire build on 2 servers  _x000a_ * DB Build on 2 nodes _x000a_ * RMAN cloning from Primary to Standby :_x000a_ * Configure DataGuard broker : _x000a_ * DR testing :_x000a_ * IQ preparation and approval : "/>
    <s v="Not Applicable"/>
    <s v="Not Applicable"/>
    <s v="Not Applicable"/>
    <s v="per DB"/>
    <n v="21.75"/>
    <n v="25"/>
    <n v="543.75"/>
    <n v="15"/>
    <s v="Service Owner - Expert - manager follow this link "/>
    <s v="Not Applicable"/>
    <m/>
    <d v="2022-07-26T00:00:00"/>
    <s v="Initial baseline"/>
    <d v="2022-04-01T00:00:00"/>
    <n v="3"/>
    <n v="0.1"/>
    <n v="489.375"/>
    <m/>
    <x v="1"/>
  </r>
  <r>
    <x v="61"/>
    <x v="0"/>
    <s v="On_Prem"/>
    <s v="DB--Oracle"/>
    <x v="29"/>
    <x v="7"/>
    <x v="51"/>
    <s v="L3 Co-ordination Activity: 13_x000a_* Gather requirement in GIFT form and verify GIFT and ensure completeness._x000a_* Co-ordination with L2 UNIX/ SAN/ NETWORK TEAM . _x000a_* Verifying the RAC  Instance best practices are implemented._x000a_L3 Implementaion activity : _x000a_ * Clusterwire build - 7_x000a_ * DB Build - 5"/>
    <s v="Oracle Operations"/>
    <s v="https://sanofiservices.service-now.com/onesupport?id=sc_cat_item_guide&amp;table=sc_cat_item&amp;sys_id=8ef52e074f098fc4cb48c0428110c701"/>
    <s v="ITS-CHMOD0004042"/>
    <s v="Provisioing "/>
    <n v="21.75"/>
    <n v="25"/>
    <n v="543.75"/>
    <n v="14"/>
    <s v="Service Owner - Expert - manager follow this link "/>
    <s v="Not Applicable"/>
    <m/>
    <d v="2022-07-26T00:00:00"/>
    <s v="Initial baseline"/>
    <d v="2022-04-01T00:00:00"/>
    <n v="3"/>
    <n v="0.1"/>
    <n v="489.375"/>
    <m/>
    <x v="1"/>
  </r>
  <r>
    <x v="62"/>
    <x v="0"/>
    <s v="On_Prem"/>
    <s v="DB--Oracle"/>
    <x v="1"/>
    <x v="7"/>
    <x v="52"/>
    <s v="1. Server Build inputs and varification. _x000a_2. Network inputs and varification._x000a_3. Storage Inputs and varifications. _x000a_4. Grid software installations and cluster build."/>
    <s v="Not Applicable"/>
    <s v="Not Applicable"/>
    <s v="Not Applicable"/>
    <s v="Per cluster"/>
    <n v="21.75"/>
    <n v="34"/>
    <n v="739.5"/>
    <n v="10"/>
    <s v="Service Owner - Expert - manager follow this link "/>
    <s v="Not Applicable"/>
    <m/>
    <d v="2022-07-26T00:00:00"/>
    <s v="Initial baseline"/>
    <d v="2022-04-01T00:00:00"/>
    <n v="3"/>
    <n v="0.1"/>
    <n v="665.55"/>
    <m/>
    <x v="1"/>
  </r>
  <r>
    <x v="63"/>
    <x v="0"/>
    <s v="On_Prem"/>
    <s v="DB--Oracle"/>
    <x v="1"/>
    <x v="7"/>
    <x v="53"/>
    <s v="Dataguard environment build as per the primary environment"/>
    <s v="Not Applicable"/>
    <s v="Not Applicable"/>
    <s v="Not Applicable"/>
    <s v="per environment"/>
    <n v="21.75"/>
    <n v="20"/>
    <n v="435"/>
    <n v="5"/>
    <s v="Service Owner - Expert - manager follow this link "/>
    <s v="Not Applicable"/>
    <m/>
    <d v="2022-07-26T00:00:00"/>
    <s v="Initial baseline"/>
    <d v="2022-04-01T00:00:00"/>
    <n v="3"/>
    <n v="0.1"/>
    <n v="391.5"/>
    <m/>
    <x v="1"/>
  </r>
  <r>
    <x v="64"/>
    <x v="0"/>
    <s v="On_Prem"/>
    <s v="DB--Oracle"/>
    <x v="1"/>
    <x v="7"/>
    <x v="54"/>
    <s v="Storage capacity Planning_x000a_Business need _x000a_Inputs and coordination with Vendor (Oracle)"/>
    <s v="Not Applicable"/>
    <s v="Not Applicable"/>
    <s v="Not Applicable"/>
    <s v="per CDB"/>
    <n v="21.75"/>
    <n v="38"/>
    <n v="826.5"/>
    <n v="12"/>
    <s v="Service Owner - Expert - manager follow this link "/>
    <s v="Not Applicable"/>
    <m/>
    <d v="2022-07-26T00:00:00"/>
    <s v="Initial baseline"/>
    <d v="2022-04-01T00:00:00"/>
    <n v="3"/>
    <n v="0.1"/>
    <n v="743.85"/>
    <m/>
    <x v="1"/>
  </r>
  <r>
    <x v="65"/>
    <x v="0"/>
    <s v="On_Prem"/>
    <s v="DB--Oracle"/>
    <x v="1"/>
    <x v="7"/>
    <x v="55"/>
    <s v="Storage capacity Planning_x000a_Business need _x000a_Inputs and coordination with Vendor (Teradata)"/>
    <s v="Not Applicable"/>
    <s v="Not Applicable"/>
    <s v="Not Applicable"/>
    <s v="Per teradata instance"/>
    <n v="21.75"/>
    <n v="38"/>
    <n v="826.5"/>
    <n v="12"/>
    <s v="Service Owner - Expert - manager follow this link "/>
    <s v="Not Applicable"/>
    <m/>
    <d v="2022-07-26T00:00:00"/>
    <s v="Initial baseline"/>
    <d v="2022-04-01T00:00:00"/>
    <n v="3"/>
    <n v="0.1"/>
    <n v="743.85"/>
    <m/>
    <x v="1"/>
  </r>
  <r>
    <x v="66"/>
    <x v="0"/>
    <s v="On_Prem"/>
    <s v="DB--SQL"/>
    <x v="2"/>
    <x v="8"/>
    <x v="56"/>
    <s v="L3 Coordination  activities: _x000a_*Collecting all required details in GIFT._x000a_"/>
    <s v="SQL Server Operations"/>
    <s v="https://sanofiservices.service-now.com/onesupport?id=sc_cat_item_guide&amp;table=sc_cat_item&amp;sys_id=d2802610db198f8805ea766eaf961961"/>
    <s v="ITS-CHMOD0000450"/>
    <s v="Per database"/>
    <n v="21.75"/>
    <n v="3"/>
    <n v="65.25"/>
    <n v="4"/>
    <s v="Service Owner - Expert - manager follow this link "/>
    <s v="Not Applicable"/>
    <m/>
    <d v="2022-07-26T00:00:00"/>
    <s v="Initial baseline"/>
    <d v="2022-04-01T00:00:00"/>
    <n v="3"/>
    <n v="0.1"/>
    <n v="58.725000000000001"/>
    <m/>
    <x v="1"/>
  </r>
  <r>
    <x v="67"/>
    <x v="0"/>
    <s v="On_Prem"/>
    <s v="DOTNET--IIS"/>
    <x v="12"/>
    <x v="7"/>
    <x v="57"/>
    <s v="Implementation Activities: _x000a_Execution steps by DOTNET_x000a__x000a_1. IIS Installation and configuration _x000a_2. IIS module  and .Net Framework installation._x000a__x000a_"/>
    <s v="Not Applicable"/>
    <s v="Not Applicable"/>
    <s v="ITS-CHMOD0004085"/>
    <s v="Per Server"/>
    <n v="21.75"/>
    <n v="2"/>
    <n v="43.5"/>
    <n v="5"/>
    <s v="Service Owner - Expert - manager follow this link "/>
    <s v="Not Applicable"/>
    <m/>
    <d v="2022-07-26T00:00:00"/>
    <s v="Initial baseline"/>
    <d v="2022-04-01T00:00:00"/>
    <n v="3"/>
    <n v="0.1"/>
    <n v="39.15"/>
    <m/>
    <x v="1"/>
  </r>
  <r>
    <x v="68"/>
    <x v="0"/>
    <s v="On_Prem"/>
    <s v="DOTNET--IIS"/>
    <x v="12"/>
    <x v="7"/>
    <x v="58"/>
    <s v="Implementation Activities: _x000a_Steps to be performed By DOTNET team_x000a__x000a_Execution steps performed by DOTNET team. _x000a_1. Site creation in all 3 environments DEV, STAG, PROD. _x000a_2. SFTP user id creation_x000a_3. REPLIWEB user id creation. _x000a_4. REPLIWEB job creation. _x000a_5. Google search profile creation in GSA. _x000a_6. Brand Website monitoring enablement from https://redalert.keynote.com/redalert/   _x000a_7. Creation of new certificate for the site. "/>
    <s v="Not Applicable"/>
    <s v="Not Applicable"/>
    <s v="Not Applicable"/>
    <s v="Per site creation"/>
    <n v="21.75"/>
    <n v="6"/>
    <n v="130.5"/>
    <n v="28"/>
    <s v="Service Owner - Expert - manager follow this link "/>
    <s v="Not Applicable"/>
    <m/>
    <d v="2022-07-26T00:00:00"/>
    <s v="Initial baseline"/>
    <d v="2022-04-01T00:00:00"/>
    <n v="3"/>
    <n v="0.1"/>
    <n v="117.45"/>
    <m/>
    <x v="1"/>
  </r>
  <r>
    <x v="69"/>
    <x v="0"/>
    <s v="On_Prem"/>
    <s v="WINDOWS"/>
    <x v="30"/>
    <x v="10"/>
    <x v="59"/>
    <s v="Separate list of systems based on region, SCCM client status, machine category _x000a_Create device collections in SCCM _x000a_Deploy package from SCCM to workstations or servers (1 deployment per region) _x000a_Check Compliance in SCCM after few _x000a_Redeploy to failed machines from SCCM to workstations or servers (1 deployment per region) _x000a_Send final deployment report built using SQL query to requestor - 90% compliance is considered completion"/>
    <s v="SCCM - Package Deployment (servers only)"/>
    <s v="https://sanofiservices.service-now.com/onesupport?id=sc_cat_item&amp;table=sc_cat_item&amp;sys_id=dc46595edb9dc70005ea766eaf9619f5"/>
    <s v="Not Applicable"/>
    <s v="Per CI"/>
    <n v="21.75"/>
    <s v="IMS"/>
    <s v="IMS"/>
    <n v="7"/>
    <s v="Service Owner - Expert - manager follow this link "/>
    <s v="Not Applicable"/>
    <m/>
    <d v="2022-07-26T00:00:00"/>
    <s v="Initial baseline"/>
    <d v="2022-04-01T00:00:00"/>
    <n v="3"/>
    <n v="0.1"/>
    <s v="IMS"/>
    <m/>
    <x v="0"/>
  </r>
  <r>
    <x v="70"/>
    <x v="0"/>
    <s v="On_Prem"/>
    <s v="WINDOWS"/>
    <x v="30"/>
    <x v="10"/>
    <x v="60"/>
    <s v="Separate list of systems based on region, SCCM client status, machine category _x000a_Create device collections in SCCM _x000a_Deploy package from SCCM to workstations or servers (1 deployment per region) _x000a_Check Compliance in SCCM after few _x000a_Redeploy to failed machines from SCCM to workstations or servers (1 deployment per region) _x000a_Send final deployment report built using SQL query to requestor - 90% compliance is considered completion"/>
    <s v="Not Applicable"/>
    <s v="Not Applicable"/>
    <s v="ITS-CHMOD0001300"/>
    <s v="DL"/>
    <n v="21.75"/>
    <s v="IMS"/>
    <s v="IMS"/>
    <n v="5"/>
    <s v="Service Owner - Expert - manager follow this link "/>
    <s v="Not Applicable"/>
    <m/>
    <d v="2022-07-26T00:00:00"/>
    <s v="Initial baseline"/>
    <d v="2022-04-01T00:00:00"/>
    <n v="3"/>
    <n v="0.1"/>
    <s v="IMS"/>
    <m/>
    <x v="0"/>
  </r>
  <r>
    <x v="71"/>
    <x v="0"/>
    <s v="On_Prem"/>
    <s v="WINDOWS"/>
    <x v="31"/>
    <x v="6"/>
    <x v="61"/>
    <s v="L3 Implementation Activities ::_x000a__x000a_- Collect Logs and Back-Up Enclosure Configuration, VCM Configuration before Performing actual Firmware Upgradation_x000a_- Resource validation (Server Profiles, vCEM, SAN, Network, H/W Chasis etc.) _x000a_- Pilot Installation/Upgrade/Troubleshooting during VC, Blade and Enclosure Upgrade_x000a_- Performance checking and Verification of Blades/Enclosures after upgradation _x000a__x000a_L3 Co-Ordination Activities ::_x000a__x000a_- Gather requirement from Service Owner and verify the same, highlight the challenges, Raise Change, Present the same in ACN/GIS CAB _x000a__x000a_- Assessing the Applications and work with Application Owners/Teams for Downtime Approval "/>
    <s v="Not Applicable"/>
    <s v="Not Applicable"/>
    <s v="Not Applicable"/>
    <s v="Not Applicable"/>
    <n v="21.75"/>
    <s v="IMS"/>
    <s v="IMS"/>
    <s v="To Define Q2 2025"/>
    <s v="Service Owner - Expert - manager follow this link "/>
    <s v="Not Applicable"/>
    <m/>
    <d v="2022-07-26T00:00:00"/>
    <s v="Initial baseline"/>
    <d v="2022-04-01T00:00:00"/>
    <n v="3"/>
    <n v="0.1"/>
    <s v="IMS"/>
    <m/>
    <x v="0"/>
  </r>
  <r>
    <x v="72"/>
    <x v="0"/>
    <s v="On_Prem"/>
    <s v="WINDOWS"/>
    <x v="30"/>
    <x v="11"/>
    <x v="62"/>
    <s v="L3 Implementation Activities::_x000a__x000a_- Installation validation &amp; verification of server after remediation"/>
    <s v="Not Applicable"/>
    <s v="Not Applicable"/>
    <s v="Not Applicable"/>
    <s v="Per CI"/>
    <n v="21.75"/>
    <s v="IMS"/>
    <s v="IMS"/>
    <n v="5"/>
    <s v="Service Owner - Expert - manager follow this link "/>
    <s v="Not Applicable"/>
    <m/>
    <d v="2022-07-26T00:00:00"/>
    <s v="Initial baseline"/>
    <d v="2022-04-01T00:00:00"/>
    <n v="3"/>
    <n v="0.1"/>
    <s v="IMS"/>
    <m/>
    <x v="0"/>
  </r>
  <r>
    <x v="73"/>
    <x v="0"/>
    <s v="On_Prem"/>
    <s v="DOTNET--IIS"/>
    <x v="12"/>
    <x v="7"/>
    <x v="63"/>
    <s v="Implementation Activities: _x000a_Execution steps performed by DOTNET team. _x000a_1. Site creation in all 3 environements DEV, STAG, PROD.  - 3_x000a_2. REPLIWEB user id creation.  0.5_x000a_3. REPLIWEB job creation.  0.5_x000a_4. Google search profile creation in GSA. 0.5"/>
    <s v="Not Applicable"/>
    <s v="Not Applicable"/>
    <s v="Not Applicable"/>
    <s v="Per site creation"/>
    <n v="21.75"/>
    <n v="4.5"/>
    <n v="97.875"/>
    <n v="10"/>
    <s v="Service Owner - Expert - manager follow this link "/>
    <s v="Not Applicable"/>
    <m/>
    <d v="2022-07-26T00:00:00"/>
    <s v="Initial baseline"/>
    <d v="2022-04-01T00:00:00"/>
    <n v="3"/>
    <n v="0.1"/>
    <n v="88.087500000000006"/>
    <m/>
    <x v="1"/>
  </r>
  <r>
    <x v="74"/>
    <x v="0"/>
    <s v="On_Prem"/>
    <s v="DOTNET--IIS"/>
    <x v="12"/>
    <x v="7"/>
    <x v="23"/>
    <s v="Implementation Activities: _x000a_Execution steps by DOTNET_x000a__x000a_1. Site creation_x000a_2. Site binding_x000a_3. Content placement_x000a_4. IIS module installation. Not mandatory step._x000a_5. New certificate generation. "/>
    <s v="Not Applicable"/>
    <s v="Not Applicable"/>
    <s v="Not Applicable"/>
    <s v="Per site creation"/>
    <n v="21.75"/>
    <n v="4"/>
    <n v="87"/>
    <n v="10"/>
    <s v="Service Owner - Expert - manager follow this link "/>
    <s v="Not Applicable"/>
    <m/>
    <d v="2022-07-26T00:00:00"/>
    <s v="Initial baseline"/>
    <d v="2022-04-01T00:00:00"/>
    <n v="3"/>
    <n v="0.1"/>
    <n v="78.3"/>
    <m/>
    <x v="1"/>
  </r>
  <r>
    <x v="75"/>
    <x v="0"/>
    <s v="On_Prem"/>
    <s v="DOTNET--IIS"/>
    <x v="12"/>
    <x v="7"/>
    <x v="24"/>
    <s v="L3 Implementation Activities: _x000a_1. Installation procedure pre-requisite checks _x000a_2. Application installation_x000a_3. Configuration changes_x000a_4. Post installation application verification_x000a_5. Testing of the application functionality "/>
    <s v="Not Applicable"/>
    <s v="Not Applicable"/>
    <s v="Not Applicable"/>
    <s v="Per application/per server"/>
    <n v="21.75"/>
    <n v="12"/>
    <n v="261"/>
    <n v="10"/>
    <s v="Service Owner - Expert - manager follow this link "/>
    <s v="Not Applicable"/>
    <m/>
    <d v="2022-07-26T00:00:00"/>
    <s v="Initial baseline"/>
    <d v="2022-04-01T00:00:00"/>
    <n v="3"/>
    <n v="0.1"/>
    <n v="234.9"/>
    <m/>
    <x v="1"/>
  </r>
  <r>
    <x v="76"/>
    <x v="0"/>
    <s v="On_Prem"/>
    <s v="DOTNET--IIS"/>
    <x v="12"/>
    <x v="8"/>
    <x v="64"/>
    <s v="L3 Implementation Activities: _x000a_1. Installation procedure pre-requisite checks _x000a_2. Application re-installation/migration _x000a_3. Configuration changes_x000a_4. Post installation application verification _x000a_5. Testing of the application functionality"/>
    <s v="Not Applicable"/>
    <s v="Not Applicable"/>
    <s v="Not Applicable"/>
    <s v="Per application"/>
    <n v="21.75"/>
    <n v="19"/>
    <n v="413.25"/>
    <n v="15"/>
    <s v="Service Owner - Expert - manager follow this link "/>
    <s v="Not Applicable"/>
    <m/>
    <d v="2022-07-26T00:00:00"/>
    <s v="Initial baseline"/>
    <d v="2022-04-01T00:00:00"/>
    <n v="3"/>
    <n v="0.1"/>
    <n v="371.92500000000001"/>
    <m/>
    <x v="1"/>
  </r>
  <r>
    <x v="77"/>
    <x v="0"/>
    <s v="Public_Cloud"/>
    <s v="DOTNET--IIS"/>
    <x v="12"/>
    <x v="7"/>
    <x v="57"/>
    <s v="Implementation Activities: _x000a_Execution steps by DOTNET_x000a__x000a_1. IIS Installation and configuration -  - 1_x000a_2. IIS module  and .Net Framework installation.   -1"/>
    <s v="Not Applicable"/>
    <s v="Not Applicable"/>
    <s v="ITS-CHMOD0004085"/>
    <s v="Per Server"/>
    <n v="21.75"/>
    <n v="5.0999999999999996"/>
    <n v="110.925"/>
    <n v="5"/>
    <s v="Service Owner - Expert - manager follow this link "/>
    <s v="Not Applicable"/>
    <m/>
    <d v="2022-07-26T00:00:00"/>
    <s v="Initial baseline"/>
    <d v="2022-04-01T00:00:00"/>
    <n v="3"/>
    <n v="0.1"/>
    <n v="99.832499999999996"/>
    <m/>
    <x v="1"/>
  </r>
  <r>
    <x v="78"/>
    <x v="0"/>
    <s v="Public_Cloud"/>
    <s v="DOTNET--IIS"/>
    <x v="12"/>
    <x v="8"/>
    <x v="64"/>
    <s v="L3 Implementation Activities: _x000a_1. Installation procedure pre-requisite checks_x000a_2. Application re-installation/migration_x000a_3. Configuration changes_x000a_4. Post installation application verification_x000a_5. Testing of the application functionality"/>
    <s v="Not Applicable"/>
    <s v="Not Applicable"/>
    <s v="Not Applicable"/>
    <s v="Per application"/>
    <n v="21.75"/>
    <n v="6.8"/>
    <n v="147.9"/>
    <n v="15"/>
    <s v="Service Owner - Expert - manager follow this link "/>
    <s v="Not Applicable"/>
    <m/>
    <d v="2022-07-26T00:00:00"/>
    <s v="Initial baseline"/>
    <d v="2022-04-01T00:00:00"/>
    <n v="3"/>
    <n v="0.1"/>
    <n v="133.11000000000001"/>
    <m/>
    <x v="1"/>
  </r>
  <r>
    <x v="79"/>
    <x v="0"/>
    <s v="On_Prem"/>
    <s v="EAI--Tibco "/>
    <x v="32"/>
    <x v="7"/>
    <x v="65"/>
    <s v="Technical Co-ordination Activities:_x000a_1. Requirement gathering_x000a_2. VM provisioning requests in Service now  to be created. _x000a_3. FS creation using Service now  requests. _x000a_4. CPU and RAM upgrade requests_x000a_5. Service account creation requests_x000a_6. DNS and Load balancer configuration requests. _x000a_7. Database schema and database connect requests._x000a__x000a_Implementation Activities:_x000a_EAI team execution steps. _x000a_1. Installation of Tibco different products like TEA, BW6, EMS installation, JRE installation. _x000a_2. BW agent configuration_x000a_3.Domain , app spacem, app nodes creation and configuration _x000a_4. Adding all machines in domain_x000a_5. User access management._x000a_6. Websever configuration "/>
    <s v="Not Applicable"/>
    <s v="Not Applicable"/>
    <s v="Not Applicable"/>
    <s v="Per Tibco Installation"/>
    <n v="21.75"/>
    <n v="48.449999999999996"/>
    <n v="1053.7874999999999"/>
    <n v="10"/>
    <s v="Service Owner - Expert - manager follow this link "/>
    <s v="Not Applicable"/>
    <m/>
    <d v="2022-07-26T00:00:00"/>
    <s v="Initial baseline"/>
    <d v="2022-04-01T00:00:00"/>
    <n v="3"/>
    <n v="0.1"/>
    <n v="948.40874999999994"/>
    <m/>
    <x v="1"/>
  </r>
  <r>
    <x v="80"/>
    <x v="0"/>
    <s v="On_Prem"/>
    <s v="EAI--Tibco "/>
    <x v="32"/>
    <x v="7"/>
    <x v="66"/>
    <s v="Implementation activity : _x000a_EAI Team execution steps _x000a_1. Design review (Architecture, framework, specifications etc.) -_x000a_2. Framework installations_x000a_3. Configuration changes_x000a_4. EMS changes_x000a_5. Post set-up validation "/>
    <s v="TIBCO Administration Request"/>
    <s v="https://sanofiservices.service-now.com/onesupport?id=sc_cat_item&amp;table=sc_cat_item&amp;sys_id=ae3a7e7c1bd0b410e4aebb739b4bcbd1"/>
    <s v="Not Applicable"/>
    <s v="Per Tibco Instance"/>
    <n v="21.75"/>
    <n v="18"/>
    <n v="391.5"/>
    <n v="15"/>
    <s v="Service Owner - Expert - manager follow this link "/>
    <s v="Not Applicable"/>
    <m/>
    <d v="2022-07-26T00:00:00"/>
    <s v="Initial baseline"/>
    <d v="2022-04-01T00:00:00"/>
    <n v="3"/>
    <n v="0.1"/>
    <n v="352.35"/>
    <m/>
    <x v="1"/>
  </r>
  <r>
    <x v="81"/>
    <x v="0"/>
    <s v="On_Prem"/>
    <s v="Scheduling"/>
    <x v="33"/>
    <x v="7"/>
    <x v="67"/>
    <s v="&quot;L3 Co-ordination Activity - Measured per Stream   of effort:_x000a_1. Requirement gathering from the application / business team for the job scheduling. _x000a_2. Helping requestor with the job configuration sheet._x000a_3. Coordination with platform teams to install agents on the servers. _x000a_4. Control-M Module installation and profile configuration._x000a_5. Verifying if the requirements fit in according to the templates / designs available for the team or highlighting need of new design to scheduling service owner._x000a__x000a_L3 Implementation activity - Measured per stream   of effort : _x000a_1. Verification of module installation,  Agent installation, FTP service activation, FS creation etc.  _x000a_2. Creation of new jobs on the environment. _x000a_3. Verification of the jobs execution. Coordination/meetings with the business / application team after the job scheduling.  Check implementation , Activation of job, Testing of the jobs on the environment by coordination with application team."/>
    <s v="Control-M Operations"/>
    <s v="https://sanofiservices.service-now.com/onesupport?id=sc_cat_item_guide&amp;table=sc_cat_item&amp;sys_id=f4d1048c1b40805817d3fddacd4bcba7"/>
    <s v="Not Applicable"/>
    <s v="formula per job with // rate"/>
    <s v="BY JOB"/>
    <s v="BY JOB"/>
    <n v="0"/>
    <s v="1-20 jobs =&gt; 5 days_x000a_21-50 jobs =&gt; 10 days_x000a_51-100 jobs =&gt; 15 days_x000a_101-200 jobs =&gt; 20 days_x000a_201-300 jobs =&gt; 30 days_x000a_301-500 jobs =&gt; 35 days"/>
    <s v="Service Owner - Expert - manager follow this link "/>
    <n v="0.6"/>
    <s v="Price calculation: Unit Price + ((#Jobs-1) x Unit price x Synergy rate) = 25+((#Jobs-1)*25*60%)"/>
    <d v="2022-07-26T00:00:00"/>
    <s v="Initial baseline"/>
    <d v="2022-04-01T00:00:00"/>
    <n v="3"/>
    <n v="0.1"/>
    <n v="0"/>
    <n v="0"/>
    <x v="1"/>
  </r>
  <r>
    <x v="82"/>
    <x v="0"/>
    <s v="On_Prem"/>
    <s v="ETL--Informatica"/>
    <x v="34"/>
    <x v="7"/>
    <x v="68"/>
    <s v="Co-ordination Activity: _x000a_Requirement gathering from application teams_x000a__x000a_Implementation activity : _x000a_1. Unix user creation_x000a_2. Informatica project space creation._x000a_2.a. End user creation for access to project spaces _x000a_2.b. Database connection creation._x000a_2.c. Creation of user access roles. _x000a_2.d. Assigning permissions or privileges._x000a_2.e. Folder structure creation. _x000a_2.f. Adding PAM centrified serivce accounts to the servers _x000a_(For SSH password less authentication ) "/>
    <s v="Not Applicable"/>
    <s v="Not Applicable"/>
    <s v="Not Applicable"/>
    <s v="per project space creation for environment. "/>
    <n v="21.75"/>
    <n v="10.199999999999999"/>
    <n v="221.85"/>
    <n v="6"/>
    <s v="Service Owner - Expert - manager follow this link "/>
    <s v="Not Applicable"/>
    <m/>
    <d v="2022-07-26T00:00:00"/>
    <s v="Initial baseline"/>
    <d v="2022-04-01T00:00:00"/>
    <n v="3"/>
    <n v="0.1"/>
    <n v="199.66499999999999"/>
    <m/>
    <x v="1"/>
  </r>
  <r>
    <x v="83"/>
    <x v="0"/>
    <s v="On_Prem"/>
    <s v="Java"/>
    <x v="12"/>
    <x v="8"/>
    <x v="69"/>
    <s v="L3 Implementation Activities: _x000a_1. Installation procedure pre-requisite checks _x000a_2. Application re-installation/migration _x000a_3. Configuration changes_x000a_4. Post installation application verification _x000a_5. Testing of the application functionality"/>
    <s v="Not Applicable"/>
    <s v="Not Applicable"/>
    <s v="Not Applicable"/>
    <s v="Per application"/>
    <n v="21.75"/>
    <n v="19"/>
    <n v="413.25"/>
    <n v="15"/>
    <s v="Service Owner - Expert - manager follow this link "/>
    <s v="Not Applicable"/>
    <m/>
    <d v="2022-07-26T00:00:00"/>
    <s v="Initial baseline"/>
    <d v="2022-04-01T00:00:00"/>
    <n v="3"/>
    <n v="0.1"/>
    <n v="371.92500000000001"/>
    <m/>
    <x v="1"/>
  </r>
  <r>
    <x v="84"/>
    <x v="0"/>
    <s v="On_Prem"/>
    <s v="Java - Apache/Tomcat"/>
    <x v="13"/>
    <x v="7"/>
    <x v="36"/>
    <s v="Implementation activity : _x000a_1. Pre-Requisites Check_x000a_2. Installation of the software _x000a_3. Configuration changes_x000a_4. Post installation validation/testing"/>
    <s v="Not Applicable"/>
    <s v="Not Applicable"/>
    <s v="Not Applicable"/>
    <s v="Per installation"/>
    <n v="21.75"/>
    <n v="10"/>
    <n v="217.5"/>
    <n v="10"/>
    <s v="Service Owner - Expert - manager follow this link "/>
    <s v="Not Applicable"/>
    <m/>
    <d v="2022-07-26T00:00:00"/>
    <s v="Initial baseline"/>
    <d v="2022-04-01T00:00:00"/>
    <n v="3"/>
    <n v="0.1"/>
    <n v="195.75"/>
    <m/>
    <x v="1"/>
  </r>
  <r>
    <x v="85"/>
    <x v="0"/>
    <s v="On_Prem"/>
    <s v="Java - Apache/Tomcat"/>
    <x v="13"/>
    <x v="7"/>
    <x v="27"/>
    <s v="Implementation activity : _x000a_1. Pre-Requisites Check_x000a_2. Installation of the software _x000a_3. Configuration of HA and clustering_x000a_4. Other Configuration changes_x000a_5. Post installation validation/testing"/>
    <s v="Not Applicable"/>
    <s v="Not Applicable"/>
    <s v="Not Applicable"/>
    <s v="Per installation"/>
    <n v="21.75"/>
    <n v="13"/>
    <n v="282.75"/>
    <n v="12"/>
    <s v="Service Owner - Expert - manager follow this link "/>
    <s v="Not Applicable"/>
    <m/>
    <d v="2022-07-26T00:00:00"/>
    <s v="Initial baseline"/>
    <d v="2022-04-01T00:00:00"/>
    <n v="3"/>
    <n v="0.1"/>
    <n v="254.47499999999999"/>
    <m/>
    <x v="1"/>
  </r>
  <r>
    <x v="86"/>
    <x v="0"/>
    <s v="On_Prem"/>
    <s v="Java - JBOSS"/>
    <x v="14"/>
    <x v="7"/>
    <x v="70"/>
    <s v="Co-ordination Activity:_x000a_Requirement gathering from application teams_x000a__x000a_ Implementation activity : _x000a_1. Deploy application_x000a_2. IQ document Creation"/>
    <s v="Not Applicable"/>
    <s v="Not Applicable"/>
    <s v="ITS-CHMOD0003114"/>
    <s v="per environment"/>
    <n v="21.75"/>
    <n v="5"/>
    <n v="108.75"/>
    <n v="7"/>
    <s v="Service Owner - Expert - manager follow this link "/>
    <s v="Not Applicable"/>
    <m/>
    <d v="2022-07-26T00:00:00"/>
    <s v="Initial baseline"/>
    <d v="2022-04-01T00:00:00"/>
    <n v="3"/>
    <n v="0.1"/>
    <n v="97.875"/>
    <m/>
    <x v="1"/>
  </r>
  <r>
    <x v="87"/>
    <x v="0"/>
    <s v="On_Prem"/>
    <s v="Java - JBOSS"/>
    <x v="14"/>
    <x v="7"/>
    <x v="71"/>
    <s v="Co-ordination Activity:_x000a_Requirement gathering from application teams - _x000a__x000a_Implementation activity : _x000a_1. General Pre-requisites_x000a_2. Creating Instances and modifying the conf files as per the project requirement_x000a_3. Application Deployment _x000a_5. Jon Configuration_x000a_4. Certificate Request and installation_x000a_5. IQ documents Creation_x000a_6. Checking JVM directories in backup schedule - "/>
    <s v="Not Applicable"/>
    <s v="Not Applicable"/>
    <s v="ITS-CHMOD0001332"/>
    <s v="per instance per environment"/>
    <n v="21.75"/>
    <n v="9"/>
    <n v="195.75"/>
    <n v="7"/>
    <s v="Service Owner - Expert - manager follow this link "/>
    <s v="Not Applicable"/>
    <m/>
    <d v="2022-07-26T00:00:00"/>
    <s v="Initial baseline"/>
    <d v="2022-04-01T00:00:00"/>
    <n v="3"/>
    <n v="0.1"/>
    <n v="176.17500000000001"/>
    <m/>
    <x v="1"/>
  </r>
  <r>
    <x v="88"/>
    <x v="0"/>
    <s v="On_Prem"/>
    <s v="Java - JBOSS"/>
    <x v="14"/>
    <x v="7"/>
    <x v="36"/>
    <s v="Implementation activity : _x000a_1. Pre-Requisites Check_x000a_2. Installation of the software_x000a_3. Configuration changes_x000a_4. Post installation validation/testing"/>
    <s v="Not Applicable"/>
    <s v="Not Applicable"/>
    <s v="Not Applicable"/>
    <s v="Per installation"/>
    <n v="21.75"/>
    <n v="10"/>
    <n v="217.5"/>
    <n v="10"/>
    <s v="Service Owner - Expert - manager follow this link "/>
    <s v="Not Applicable"/>
    <m/>
    <d v="2022-07-26T00:00:00"/>
    <s v="Initial baseline"/>
    <d v="2022-04-01T00:00:00"/>
    <n v="3"/>
    <n v="0.1"/>
    <n v="195.75"/>
    <m/>
    <x v="1"/>
  </r>
  <r>
    <x v="89"/>
    <x v="0"/>
    <s v="Public_Cloud"/>
    <s v="Java - JBOSS"/>
    <x v="14"/>
    <x v="7"/>
    <x v="70"/>
    <s v="Co-ordination Activity:_x000a_Requirement gathering from application teams - _x000a_ Implementation activity : _x000a_1. Deploy application _x000a_2. IQ document Creation"/>
    <s v="Not Applicable"/>
    <s v="Not Applicable"/>
    <s v="ITS-CHMOD0003114"/>
    <s v="per environment"/>
    <n v="21.75"/>
    <n v="5.0999999999999996"/>
    <n v="110.925"/>
    <n v="7"/>
    <s v="Service Owner - Expert - manager follow this link "/>
    <s v="Not Applicable"/>
    <m/>
    <d v="2022-07-26T00:00:00"/>
    <s v="Initial baseline"/>
    <d v="2022-04-01T00:00:00"/>
    <n v="3"/>
    <n v="0.1"/>
    <n v="99.832499999999996"/>
    <m/>
    <x v="1"/>
  </r>
  <r>
    <x v="90"/>
    <x v="0"/>
    <s v="Public_Cloud"/>
    <s v="Java - JBOSS"/>
    <x v="14"/>
    <x v="7"/>
    <x v="71"/>
    <s v="Co-ordination Activity:_x000a_Requirement gathering from application teams - _x000a__x000a_Implementation activity : _x000a_1. General Pre-requisites_x000a_2. Creating Instances and modifying the conf files as per the project requirement _x000a_3. Application Deployment_x000a_5. Jon Configuration _x000a_4. Certificate Request and installation_x000a_5. IQ documents Creation_x000a_6. Checking JVM directories in backup schedule - "/>
    <s v="Not Applicable"/>
    <s v="Not Applicable"/>
    <s v="ITS-CHMOD0001332"/>
    <s v="per instance per environment"/>
    <n v="21.75"/>
    <n v="10.199999999999999"/>
    <n v="221.85"/>
    <n v="7"/>
    <s v="Service Owner - Expert - manager follow this link "/>
    <s v="Not Applicable"/>
    <m/>
    <d v="2022-07-26T00:00:00"/>
    <s v="Initial baseline"/>
    <d v="2022-04-01T00:00:00"/>
    <n v="3"/>
    <n v="0.1"/>
    <n v="199.66499999999999"/>
    <m/>
    <x v="1"/>
  </r>
  <r>
    <x v="91"/>
    <x v="0"/>
    <s v="Public_Cloud"/>
    <s v="Java - JBOSS"/>
    <x v="14"/>
    <x v="7"/>
    <x v="36"/>
    <s v="Implementation activity : _x000a_1. Pre-Requisites Check _x000a_2. Installation of the software _x000a_3. Configuration changes_x000a_4. Post installation validation/testing "/>
    <s v="Not Applicable"/>
    <s v="Not Applicable"/>
    <s v="Not Applicable"/>
    <s v="Per installation"/>
    <n v="21.75"/>
    <n v="10.199999999999999"/>
    <n v="221.85"/>
    <n v="10"/>
    <s v="Service Owner - Expert - manager follow this link "/>
    <s v="Not Applicable"/>
    <m/>
    <d v="2022-07-26T00:00:00"/>
    <s v="Initial baseline"/>
    <d v="2022-04-01T00:00:00"/>
    <n v="3"/>
    <n v="0.1"/>
    <n v="199.66499999999999"/>
    <m/>
    <x v="1"/>
  </r>
  <r>
    <x v="92"/>
    <x v="0"/>
    <s v="Public_Cloud"/>
    <s v="Java - JBOSS"/>
    <x v="14"/>
    <x v="7"/>
    <x v="27"/>
    <s v="Implementation activity : _x000a_1. Pre-Requisites Check_x000a_2. Installation of the software _x000a_3. Configuration of HA and clustering_x000a_4. Other Configuration changes _x000a_5. Post installation validation/testing "/>
    <s v="Not Applicable"/>
    <s v="Not Applicable"/>
    <s v="Not Applicable"/>
    <s v="Per installation"/>
    <n v="21.75"/>
    <n v="10.199999999999999"/>
    <n v="221.85"/>
    <n v="12"/>
    <s v="Service Owner - Expert - manager follow this link "/>
    <s v="Not Applicable"/>
    <m/>
    <d v="2022-07-26T00:00:00"/>
    <s v="Initial baseline"/>
    <d v="2022-04-01T00:00:00"/>
    <n v="3"/>
    <n v="0.1"/>
    <n v="199.66499999999999"/>
    <m/>
    <x v="1"/>
  </r>
  <r>
    <x v="93"/>
    <x v="0"/>
    <s v="On_Prem"/>
    <s v="Java - Weblogic"/>
    <x v="35"/>
    <x v="7"/>
    <x v="72"/>
    <s v="Co-ordination Activity:_x000a_ Requirement gathering from application teams - _x000a__x000a_Implementation activity : _x000a_1. Web server and Middleware deployment _x000a_2. IQ document Creation"/>
    <s v="Not Applicable"/>
    <s v="Not Applicable"/>
    <s v="ITS-CHMOD0003114"/>
    <s v="per environment"/>
    <n v="21.75"/>
    <n v="5"/>
    <n v="108.75"/>
    <n v="7"/>
    <s v="Service Owner - Expert - manager follow this link "/>
    <s v="Not Applicable"/>
    <m/>
    <d v="2022-07-26T00:00:00"/>
    <s v="Initial baseline"/>
    <d v="2022-04-01T00:00:00"/>
    <n v="3"/>
    <n v="0.1"/>
    <n v="97.875"/>
    <m/>
    <x v="1"/>
  </r>
  <r>
    <x v="94"/>
    <x v="0"/>
    <s v="On_Prem"/>
    <s v="Java - Weblogic"/>
    <x v="35"/>
    <x v="7"/>
    <x v="73"/>
    <s v="Co-ordination Activity:_x000a_Requirement gathering from application teams - _x000a__x000a_Implementation activity : _x000a_1. Pre-Requisites Check_x000a_2. Installation (Silent installation weblogic, Installation of SOA suite, Patch Upgrade etc )- _x000a_3. Application Deployment  _x000a_4. Certificate generation and update and configuration of keystore - _x000a_5. Post Installation Tasks "/>
    <s v="Not Applicable"/>
    <s v="Not Applicable"/>
    <s v="ITS-CHMOD0001332"/>
    <s v="per instance per environment"/>
    <n v="21.75"/>
    <n v="9"/>
    <n v="195.75"/>
    <n v="7"/>
    <s v="Service Owner - Expert - manager follow this link "/>
    <s v="Not Applicable"/>
    <m/>
    <d v="2022-07-26T00:00:00"/>
    <s v="Initial baseline"/>
    <d v="2022-04-01T00:00:00"/>
    <n v="3"/>
    <n v="0.1"/>
    <n v="176.17500000000001"/>
    <m/>
    <x v="1"/>
  </r>
  <r>
    <x v="95"/>
    <x v="0"/>
    <s v="On_Prem"/>
    <s v="Java - Weblogic"/>
    <x v="35"/>
    <x v="7"/>
    <x v="36"/>
    <s v="Implementation activity : _x000a_1. Pre-Requisites Check_x000a_2. Installation of the software_x000a_3. Configuration changes_x000a_4. Post installation validation/testing"/>
    <s v="Not Applicable"/>
    <s v="Not Applicable"/>
    <s v="Not Applicable"/>
    <s v="Per installation"/>
    <n v="21.75"/>
    <n v="10"/>
    <n v="217.5"/>
    <n v="10"/>
    <s v="Service Owner - Expert - manager follow this link "/>
    <s v="Not Applicable"/>
    <m/>
    <d v="2022-07-26T00:00:00"/>
    <s v="Initial baseline"/>
    <d v="2022-04-01T00:00:00"/>
    <n v="3"/>
    <n v="0.1"/>
    <n v="195.75"/>
    <m/>
    <x v="1"/>
  </r>
  <r>
    <x v="96"/>
    <x v="0"/>
    <s v="On_Prem"/>
    <s v="Java - Weblogic"/>
    <x v="35"/>
    <x v="7"/>
    <x v="27"/>
    <s v="Implementation activity : _x000a_1. Pre-Requisites Check_x000a_2. Installation of the software_x000a_3. Configuration of HA and clustering _x000a_4. Other Configuration changes _x000a_5. Post installation validation/testing"/>
    <s v="Not Applicable"/>
    <s v="Not Applicable"/>
    <s v="Not Applicable"/>
    <s v="Per installation"/>
    <n v="21.75"/>
    <n v="13"/>
    <n v="282.75"/>
    <n v="12"/>
    <s v="Service Owner - Expert - manager follow this link "/>
    <s v="Not Applicable"/>
    <m/>
    <d v="2022-07-26T00:00:00"/>
    <s v="Initial baseline"/>
    <d v="2022-04-01T00:00:00"/>
    <n v="3"/>
    <n v="0.1"/>
    <n v="254.47499999999999"/>
    <m/>
    <x v="1"/>
  </r>
  <r>
    <x v="97"/>
    <x v="0"/>
    <s v="On_Prem"/>
    <s v="Java-Websphere"/>
    <x v="36"/>
    <x v="7"/>
    <x v="36"/>
    <s v="Implementation activity : _x000a_1. Pre-Requisites Check _x000a_2. Installation of the software _x000a_3. Configuration changes_x000a_4. Post installation validation/testing"/>
    <s v="Not Applicable"/>
    <s v="Not Applicable"/>
    <s v="Not Applicable"/>
    <s v="Per installation"/>
    <n v="21.75"/>
    <n v="10"/>
    <n v="217.5"/>
    <n v="10"/>
    <s v="Service Owner - Expert - manager follow this link "/>
    <s v="Not Applicable"/>
    <m/>
    <d v="2022-07-26T00:00:00"/>
    <s v="Initial baseline"/>
    <d v="2022-04-01T00:00:00"/>
    <n v="3"/>
    <n v="0.1"/>
    <n v="195.75"/>
    <m/>
    <x v="1"/>
  </r>
  <r>
    <x v="98"/>
    <x v="0"/>
    <s v="On_Prem"/>
    <s v="Java-Websphere"/>
    <x v="36"/>
    <x v="7"/>
    <x v="27"/>
    <s v="Implementation activity : _x000a_1. Pre-Requisites Check _x000a_2. Installation of the software_x000a_3. Configuration of HA and clustering_x000a_4. Other Configuration changes _x000a_5. Post installation validation/testing"/>
    <s v="Not Applicable"/>
    <s v="Not Applicable"/>
    <s v="Not Applicable"/>
    <s v="Per installation"/>
    <n v="21.75"/>
    <n v="13"/>
    <n v="282.75"/>
    <n v="12"/>
    <s v="Service Owner - Expert - manager follow this link "/>
    <s v="Not Applicable"/>
    <m/>
    <d v="2022-07-26T00:00:00"/>
    <s v="Initial baseline"/>
    <d v="2022-04-01T00:00:00"/>
    <n v="3"/>
    <n v="0.1"/>
    <n v="254.47499999999999"/>
    <m/>
    <x v="1"/>
  </r>
  <r>
    <x v="99"/>
    <x v="0"/>
    <s v="On_Prem"/>
    <s v="MFT --Gateway "/>
    <x v="37"/>
    <x v="7"/>
    <x v="74"/>
    <s v="Technical Co-ordination Activity:_x000a_Coordination with application teams for the password for authentication_x000a__x000a_Implementation activity : _x000a_Steps to be performed by the L3 team. _x000a_1. Creation of the CGATE_x000a_2. Creation of VFD or RFD._x000a_3. Autentication based on password or password less"/>
    <s v="Not Applicable"/>
    <s v="Not Applicable"/>
    <s v="Not Applicable"/>
    <s v="Per project environment"/>
    <n v="21.75"/>
    <n v="5.0999999999999996"/>
    <n v="110.925"/>
    <n v="7"/>
    <s v="Service Owner - Expert - manager follow this link "/>
    <s v="Not Applicable"/>
    <m/>
    <d v="2022-07-26T00:00:00"/>
    <s v="Initial baseline"/>
    <d v="2022-04-01T00:00:00"/>
    <n v="3"/>
    <n v="0.1"/>
    <n v="99.832499999999996"/>
    <m/>
    <x v="1"/>
  </r>
  <r>
    <x v="100"/>
    <x v="0"/>
    <s v="On_Prem"/>
    <s v="MFT --Gateway "/>
    <x v="37"/>
    <x v="7"/>
    <x v="75"/>
    <s v="Implementation activity : _x000a_1. Creation of decision rules. _x000a_2. Creation of transfer sites _x000a_3. Creation of models  _x000a_4. Environment setup on transfer site"/>
    <s v="Not Applicable"/>
    <s v="Not Applicable"/>
    <s v="Not Applicable"/>
    <s v="Per project environment"/>
    <n v="21.75"/>
    <n v="4.25"/>
    <n v="92.4375"/>
    <n v="7"/>
    <s v="Service Owner - Expert - manager follow this link "/>
    <s v="Not Applicable"/>
    <m/>
    <d v="2022-07-26T00:00:00"/>
    <s v="Initial baseline"/>
    <d v="2022-04-01T00:00:00"/>
    <n v="3"/>
    <n v="0.1"/>
    <n v="83.193749999999994"/>
    <m/>
    <x v="1"/>
  </r>
  <r>
    <x v="101"/>
    <x v="0"/>
    <s v="On_Prem"/>
    <s v="MFT --Gateway "/>
    <x v="37"/>
    <x v="7"/>
    <x v="76"/>
    <s v="Implementation activity : _x000a_Steps to be performed by _x000a_1. Creation of the transfer sites. _x000a_3. creation data flow. _x000a_4. Validation of parameters _x000a_5. ControlM job creation / coordination with batch team . "/>
    <s v="Not Applicable"/>
    <s v="Not Applicable"/>
    <s v="Not Applicable"/>
    <s v="Per Request"/>
    <n v="21.75"/>
    <n v="5.0999999999999996"/>
    <n v="110.925"/>
    <n v="7"/>
    <s v="Service Owner - Expert - manager follow this link "/>
    <s v="Not Applicable"/>
    <m/>
    <d v="2022-07-26T00:00:00"/>
    <s v="Initial baseline"/>
    <d v="2022-04-01T00:00:00"/>
    <n v="3"/>
    <n v="0.1"/>
    <n v="99.832499999999996"/>
    <m/>
    <x v="1"/>
  </r>
  <r>
    <x v="102"/>
    <x v="0"/>
    <s v="On_Prem"/>
    <s v="MFT --Gateway "/>
    <x v="37"/>
    <x v="7"/>
    <x v="77"/>
    <s v="Implementation activity : _x000a_1. creation data flow.  _x000a_2. Validation of parameters_x000a_3.  ControlM job creation / coordination with batch team . "/>
    <s v="Not Applicable"/>
    <s v="Not Applicable"/>
    <s v="Not Applicable"/>
    <s v="Per request"/>
    <n v="21.75"/>
    <n v="3.4"/>
    <n v="73.95"/>
    <n v="7"/>
    <s v="Service Owner - Expert - manager follow this link "/>
    <s v="Not Applicable"/>
    <m/>
    <d v="2022-07-26T00:00:00"/>
    <s v="Initial baseline"/>
    <d v="2022-04-01T00:00:00"/>
    <n v="3"/>
    <n v="0.1"/>
    <n v="66.555000000000007"/>
    <m/>
    <x v="1"/>
  </r>
  <r>
    <x v="103"/>
    <x v="0"/>
    <s v="On_Prem"/>
    <s v="MFT--CFT"/>
    <x v="38"/>
    <x v="7"/>
    <x v="78"/>
    <s v="Co-ordination Activity:_x000a__x000a_1. Filesystem creation , application user id creation requests with Unix_x000a_2. monitoring enablement requests _x000a_3. working with axway for license._x000a_4. ControlM job creation for parameter validated by MFT team _x000a__x000a_ Implementation activity : _x000a_1. CFT agent installation on windows or unix machines._x000a_2. Configuration of the .config files. _x000a_3. CFT data flow creation_x000a_4. Parameter validation for contorlM job creation. _x000a_5. Verification of sucessfull transfers. _x000a_6. Creation of post execution script if required. "/>
    <s v="Not Applicable"/>
    <s v="Not Applicable"/>
    <s v="Not Applicable"/>
    <s v="Per project environment"/>
    <n v="21.75"/>
    <n v="16.149999999999999"/>
    <n v="351.26249999999999"/>
    <n v="5"/>
    <s v="Service Owner - Expert - manager follow this link "/>
    <s v="Not Applicable"/>
    <m/>
    <d v="2022-07-26T00:00:00"/>
    <s v="Initial baseline"/>
    <d v="2022-04-01T00:00:00"/>
    <n v="3"/>
    <n v="0.1"/>
    <n v="316.13625000000002"/>
    <m/>
    <x v="1"/>
  </r>
  <r>
    <x v="104"/>
    <x v="0"/>
    <s v="On_Prem"/>
    <s v="MFT--E2B GI/ B2BI"/>
    <x v="39"/>
    <x v="7"/>
    <x v="79"/>
    <s v="L3 Implementation Activity _x000a_1. Creation of the Communities _x000a_2. Creation of Partner_x000a_3. Creation on pick-up &amp; delivery _x000a_4. Configuration set-up_x000a_5. Post set-up validation "/>
    <s v="Not Applicable"/>
    <s v="Not Applicable"/>
    <s v="Not Applicable"/>
    <s v="Per set-up"/>
    <n v="21.75"/>
    <n v="7.2249999999999996"/>
    <n v="157.14374999999998"/>
    <n v="8"/>
    <s v="Service Owner - Expert - manager follow this link "/>
    <s v="Not Applicable"/>
    <m/>
    <d v="2022-07-26T00:00:00"/>
    <s v="Initial baseline"/>
    <d v="2022-04-01T00:00:00"/>
    <n v="3"/>
    <n v="0.1"/>
    <n v="141.42937499999999"/>
    <m/>
    <x v="1"/>
  </r>
  <r>
    <x v="105"/>
    <x v="0"/>
    <s v="On_Prem"/>
    <s v="MFT--E2B GI/ B2BI"/>
    <x v="39"/>
    <x v="7"/>
    <x v="80"/>
    <s v="L3 Implementation Activity _x000a_1. Creation of the Communities _x000a_2. Creation of Partner _x000a_3. Creation on pick-up &amp; delivery_x000a_4. Configuration set-up _x000a_5. Post set-up validation"/>
    <s v="Not Applicable"/>
    <s v="Not Applicable"/>
    <s v="Not Applicable"/>
    <s v="Per set-up"/>
    <n v="21.75"/>
    <n v="7.2249999999999996"/>
    <n v="157.14374999999998"/>
    <n v="8"/>
    <s v="Service Owner - Expert - manager follow this link "/>
    <s v="Not Applicable"/>
    <m/>
    <d v="2022-07-26T00:00:00"/>
    <s v="Initial baseline"/>
    <d v="2022-04-01T00:00:00"/>
    <n v="3"/>
    <n v="0.1"/>
    <n v="141.42937499999999"/>
    <m/>
    <x v="1"/>
  </r>
  <r>
    <x v="106"/>
    <x v="0"/>
    <s v="On_Prem"/>
    <s v="Network"/>
    <x v="40"/>
    <x v="7"/>
    <x v="81"/>
    <s v="L3 Implementation _x000a_• Implementing the changes following the TID "/>
    <s v="No"/>
    <s v="No"/>
    <s v="​ITS-CHMOD0004308"/>
    <s v="Per Device"/>
    <n v="21.75"/>
    <n v="1.7"/>
    <n v="36.975000000000001"/>
    <n v="15"/>
    <s v="Service Owner - Expert - manager follow this link "/>
    <s v="Not Applicable"/>
    <m/>
    <d v="2022-07-26T00:00:00"/>
    <s v="Initial baseline"/>
    <d v="2022-04-01T00:00:00"/>
    <n v="3"/>
    <n v="0.1"/>
    <n v="33.277500000000003"/>
    <m/>
    <x v="1"/>
  </r>
  <r>
    <x v="107"/>
    <x v="0"/>
    <s v="On_Prem"/>
    <s v="Network"/>
    <x v="40"/>
    <x v="7"/>
    <x v="82"/>
    <s v="L3 Implementation Activities  - _x000a_Service decomm_x000a_- Carry out the log analysis for the specified duration to ensure no live traffic on the device_x000a_- removing related acls / configurations from specified devices_x000a_- update documentation_x000a_Device decomm_x000a_- remove device from ACS _x000a_- remove configuration _x000a_- through OOB Wipe out configuration_x000a_- update inventory and all the infrastructure tools_x000a_- update documentation"/>
    <s v="No"/>
    <s v="No"/>
    <s v="​ITS-CHMOD0004308"/>
    <s v="Per Device"/>
    <n v="21.75"/>
    <n v="2.2999999999999998"/>
    <n v="50.024999999999999"/>
    <n v="15"/>
    <s v="Service Owner - Expert - manager follow this link "/>
    <s v="Not Applicable"/>
    <m/>
    <d v="2022-07-26T00:00:00"/>
    <s v="Initial baseline"/>
    <d v="2022-04-01T00:00:00"/>
    <n v="3"/>
    <n v="0.1"/>
    <n v="45.022500000000001"/>
    <m/>
    <x v="1"/>
  </r>
  <r>
    <x v="108"/>
    <x v="0"/>
    <s v="On_Prem"/>
    <s v="Network"/>
    <x v="40"/>
    <x v="8"/>
    <x v="83"/>
    <s v="L3 Implementation Activities  - _x000a_Service decomm_x000a_- Carry out the log analysis for the specified duration to ensure no live traffic on the device_x000a_- removing related acls / configurations from specified devices_x000a_- update documentation_x000a_Device decomm_x000a_- remove device from ACS _x000a_- remove configuration _x000a_- through OOB Wipe out configuration_x000a_- update inventory and all the infrastructure tools_x000a_- update documentation"/>
    <s v="No"/>
    <s v="No"/>
    <s v="​ITS-CHMOD0004308"/>
    <s v="Per Device"/>
    <n v="21.75"/>
    <n v="2.2999999999999998"/>
    <n v="50.024999999999999"/>
    <n v="15"/>
    <s v="Service Owner - Expert - manager follow this link "/>
    <s v="Not Applicable"/>
    <m/>
    <d v="2022-07-26T00:00:00"/>
    <s v="Initial baseline"/>
    <d v="2022-04-01T00:00:00"/>
    <n v="3"/>
    <n v="0.1"/>
    <n v="45.022500000000001"/>
    <m/>
    <x v="1"/>
  </r>
  <r>
    <x v="109"/>
    <x v="0"/>
    <s v="On_Prem"/>
    <s v="Network"/>
    <x v="40"/>
    <x v="7"/>
    <x v="84"/>
    <s v="L3 Implementation Activities  - _x000a_Service decomm_x000a_- Carry out the log analysis for the specified duration to ensure no live traffic on the device_x000a_- removing related acls / configurations from specified devices_x000a_- update documentation_x000a_Device decomm_x000a_- remove device from ACS _x000a_- remove configuration _x000a_- through OOB Wipe out configuration_x000a_- update inventory and all the infrastructure tools_x000a_- update documentation"/>
    <s v="No"/>
    <s v="No"/>
    <s v="Not Applicable"/>
    <s v="Per Device"/>
    <n v="21.75"/>
    <n v="6"/>
    <n v="130.5"/>
    <n v="10"/>
    <s v="Service Owner - Expert - manager follow this link "/>
    <s v="Not Applicable"/>
    <m/>
    <d v="2022-07-26T00:00:00"/>
    <s v="Initial baseline"/>
    <d v="2022-04-01T00:00:00"/>
    <n v="3"/>
    <n v="0.1"/>
    <n v="117.45"/>
    <m/>
    <x v="1"/>
  </r>
  <r>
    <x v="110"/>
    <x v="0"/>
    <s v="On_Prem"/>
    <s v="Network Security"/>
    <x v="3"/>
    <x v="12"/>
    <x v="85"/>
    <s v="L3 Implementation Activities  - _x000a_Service decomm_x000a_- Carry out the log analysis for the specified duration to ensure no live traffic on the device_x000a_- removing related acls / configurations from specified devices_x000a_- update documentation_x000a_Device decomm_x000a_- remove device from ACS _x000a_- remove configuration _x000a_- through OOB Wipe out configuration_x000a_- update inventory and all the infrastructure tools_x000a_- update documentation"/>
    <s v="No"/>
    <s v="No"/>
    <s v="ITS-CHMOD0004309"/>
    <s v="Per Tool"/>
    <n v="21.75"/>
    <n v="40"/>
    <n v="870"/>
    <n v="15"/>
    <s v="Service Owner - Expert - manager follow this link "/>
    <s v="Not Applicable"/>
    <m/>
    <d v="2022-07-26T00:00:00"/>
    <s v="Initial baseline"/>
    <d v="2022-04-01T00:00:00"/>
    <n v="3"/>
    <n v="0.1"/>
    <n v="783"/>
    <m/>
    <x v="1"/>
  </r>
  <r>
    <x v="111"/>
    <x v="0"/>
    <s v="On_Prem"/>
    <s v="Network Security"/>
    <x v="3"/>
    <x v="12"/>
    <x v="86"/>
    <s v="L3 Implementation Activities:  6 hour_x000a_- Copy specified IOS to security device_x000a_-Secure latest configuration backup _x000a_- Verify IOS post copying _x000a_- Set bootloader &amp; progress for upgrade _x000a_- reload the device_x000a_- IOS verification post power cycle"/>
    <s v="No"/>
    <s v="No"/>
    <s v="ITS-CHMOD0004309"/>
    <s v="Per Device"/>
    <n v="21.75"/>
    <n v="6"/>
    <n v="130.5"/>
    <n v="30"/>
    <s v="Service Owner - Expert - manager follow this link "/>
    <s v="Not Applicable"/>
    <m/>
    <d v="2022-07-26T00:00:00"/>
    <s v="Initial baseline"/>
    <d v="2022-04-01T00:00:00"/>
    <n v="3"/>
    <n v="0.1"/>
    <n v="117.45"/>
    <m/>
    <x v="1"/>
  </r>
  <r>
    <x v="112"/>
    <x v="0"/>
    <s v="On_Prem"/>
    <s v="Network Security"/>
    <x v="3"/>
    <x v="7"/>
    <x v="87"/>
    <s v="Requirements gathering_x000a_- Make the network connectivity through end to end_x000a_- Do the required configuration and add devices to all infra tools"/>
    <s v="No"/>
    <s v="No"/>
    <s v="Not Applicable"/>
    <s v="Per Device"/>
    <n v="21.75"/>
    <n v="4"/>
    <n v="87"/>
    <n v="10"/>
    <s v="Service Owner - Expert - manager follow this link "/>
    <s v="Not Applicable"/>
    <m/>
    <d v="2022-07-26T00:00:00"/>
    <s v="Initial baseline"/>
    <d v="2022-04-01T00:00:00"/>
    <n v="3"/>
    <n v="0.1"/>
    <n v="78.3"/>
    <m/>
    <x v="1"/>
  </r>
  <r>
    <x v="113"/>
    <x v="0"/>
    <s v="On_Prem"/>
    <s v="Network Security"/>
    <x v="3"/>
    <x v="7"/>
    <x v="88"/>
    <s v="L3 Implementation Activities: _x000a_-Validate requirements with SANOFI TDA's(Technical Design Authority)_x000a_- Planning and create low level design with allocation of fresh subnet_x000a_- Implementation &amp; configuration of device with in collaboration with network &amp; 3rd party team_x000a_- Fine tuning of configuration _x000a_- GeodIS requirement qualified doc"/>
    <s v="No"/>
    <s v="No"/>
    <s v="Not Applicable"/>
    <s v="Per Request"/>
    <n v="21.75"/>
    <n v="16"/>
    <n v="348"/>
    <n v="20"/>
    <s v="Service Owner - Expert - manager follow this link "/>
    <s v="Not Applicable"/>
    <m/>
    <d v="2022-07-26T00:00:00"/>
    <s v="Initial baseline"/>
    <d v="2022-04-01T00:00:00"/>
    <n v="3"/>
    <n v="0.1"/>
    <n v="313.2"/>
    <m/>
    <x v="1"/>
  </r>
  <r>
    <x v="114"/>
    <x v="0"/>
    <s v="Public_Cloud"/>
    <s v="NGINX"/>
    <x v="41"/>
    <x v="7"/>
    <x v="89"/>
    <s v="Co-ordination Activity:_x000a_Requirement gathering from application teams - _x000a__x000a_Implementation activity : _x000a_1. General Pre-requisites_x000a_2. Deploying application in container Instances and modifying the conf files as per the project requirement_x000a_3. IQ documents Creation "/>
    <s v="No"/>
    <s v="No"/>
    <s v="Not Applicable"/>
    <s v="per environment"/>
    <n v="21.75"/>
    <n v="10.199999999999999"/>
    <n v="221.85"/>
    <n v="7"/>
    <s v="Service Owner - Expert - manager follow this link "/>
    <s v="Not Applicable"/>
    <m/>
    <d v="2022-07-26T00:00:00"/>
    <s v="Initial baseline"/>
    <d v="2022-04-01T00:00:00"/>
    <n v="3"/>
    <n v="0.1"/>
    <n v="199.66499999999999"/>
    <m/>
    <x v="1"/>
  </r>
  <r>
    <x v="115"/>
    <x v="0"/>
    <s v="Public_Cloud"/>
    <s v="NGINX"/>
    <x v="41"/>
    <x v="7"/>
    <x v="90"/>
    <s v="Co-ordination Activity:_x000a_Requirement gathering from application teams_x000a__x000a_Implementation activity : _x000a_1. General Pre-requisites and pre-configuration - _x000a_2. Creation of container, Deploying application in newly build container Instances and modifying the conf files as per the project requirement _x000a_3. Certificate Request and installation _x000a_4. IQ documents Creation"/>
    <s v="No"/>
    <s v="No"/>
    <s v="Not Applicable"/>
    <s v="Per installation"/>
    <n v="21.75"/>
    <n v="10.199999999999999"/>
    <n v="221.85"/>
    <n v="10"/>
    <s v="Service Owner - Expert - manager follow this link "/>
    <s v="Not Applicable"/>
    <m/>
    <d v="2022-07-26T00:00:00"/>
    <s v="Initial baseline"/>
    <d v="2022-04-01T00:00:00"/>
    <n v="3"/>
    <n v="0.1"/>
    <n v="199.66499999999999"/>
    <m/>
    <x v="1"/>
  </r>
  <r>
    <x v="116"/>
    <x v="0"/>
    <s v="Public_Cloud"/>
    <s v="SCALe"/>
    <x v="4"/>
    <x v="7"/>
    <x v="91"/>
    <n v="0"/>
    <s v="SCALe CaaS Kubernetes Not Applicablemespace creation"/>
    <s v="https://sanofiservices.service-now.com/onesupport?id=sc_cat_item&amp;table=sc_cat_item&amp;sys_id=7a544989db467f48a9c8838405961972"/>
    <s v="SCALe CaaS Not Applicablemespace update/modification"/>
    <s v="Per Project"/>
    <n v="21.75"/>
    <n v="1.7"/>
    <n v="36.975000000000001"/>
    <n v="7"/>
    <s v="Service Owner - Expert - manager follow this link "/>
    <s v="Not Applicable"/>
    <m/>
    <d v="2022-07-26T00:00:00"/>
    <s v="Initial baseline"/>
    <d v="2022-04-01T00:00:00"/>
    <n v="3"/>
    <n v="0.1"/>
    <n v="33.277500000000003"/>
    <m/>
    <x v="1"/>
  </r>
  <r>
    <x v="117"/>
    <x v="0"/>
    <s v="Public_Cloud"/>
    <s v="SCALe"/>
    <x v="4"/>
    <x v="7"/>
    <x v="92"/>
    <n v="0"/>
    <s v="SCALe CaaS Kubernetes Not Applicablemespace creation"/>
    <s v="https://sanofiservices.service-now.com/onesupport?id=sc_cat_item&amp;table=sc_cat_item&amp;sys_id=7a544989db467f48a9c8838405961972"/>
    <s v="SCALe CaaS Not Applicablemespace update/modification"/>
    <s v="Per Project"/>
    <n v="21.75"/>
    <n v="1.7"/>
    <n v="36.975000000000001"/>
    <n v="5"/>
    <s v="Service Owner - Expert - manager follow this link "/>
    <s v="Not Applicable"/>
    <m/>
    <d v="2022-07-26T00:00:00"/>
    <s v="Initial baseline"/>
    <d v="2022-04-01T00:00:00"/>
    <n v="3"/>
    <n v="0.1"/>
    <n v="33.277500000000003"/>
    <m/>
    <x v="1"/>
  </r>
  <r>
    <x v="118"/>
    <x v="0"/>
    <s v="Public_Cloud"/>
    <s v="SCALe"/>
    <x v="4"/>
    <x v="12"/>
    <x v="93"/>
    <n v="0"/>
    <s v="Not Applicable"/>
    <s v="Not Applicable"/>
    <s v="Not Applicable"/>
    <s v="Per Cluster"/>
    <n v="21.75"/>
    <n v="5"/>
    <n v="108.75"/>
    <n v="2"/>
    <s v="Service Owner - Expert - manager follow this link "/>
    <s v="Not Applicable"/>
    <m/>
    <d v="2022-07-26T00:00:00"/>
    <s v="Initial baseline"/>
    <d v="2022-04-01T00:00:00"/>
    <n v="3"/>
    <n v="0.1"/>
    <n v="97.875"/>
    <m/>
    <x v="1"/>
  </r>
  <r>
    <x v="119"/>
    <x v="0"/>
    <s v="On_Prem_Public_Cloud"/>
    <s v="SAP"/>
    <x v="15"/>
    <x v="8"/>
    <x v="94"/>
    <s v="L3 Co-ordination Activities:_x000a_downloading the executables _x000a_Review Notes _x000a__x000a_L3 Implementaion Activities: : _x000a_Check Pre-requisites SPACE/ACCESS/Binaries etc_x000a_Oracle upgrade_x000a_Post Upgrade Steps _x000a_Update Stats "/>
    <s v="Not Applicable"/>
    <s v="Not Applicable"/>
    <s v="Not Applicable"/>
    <s v="Database"/>
    <n v="21.75"/>
    <n v="11"/>
    <n v="239.25"/>
    <n v="3"/>
    <s v="Service Owner - Expert - manager follow this link "/>
    <s v="Not Applicable"/>
    <m/>
    <d v="2022-07-26T00:00:00"/>
    <s v="Initial baseline"/>
    <d v="2022-04-01T00:00:00"/>
    <n v="3"/>
    <n v="0.1"/>
    <n v="215.32499999999999"/>
    <m/>
    <x v="1"/>
  </r>
  <r>
    <x v="120"/>
    <x v="0"/>
    <s v="On_Prem_Public_Cloud"/>
    <s v="SAP"/>
    <x v="15"/>
    <x v="8"/>
    <x v="95"/>
    <s v="L3 Preparation and Coordination Activities:_x000a_Downloading the executables - 1h_x000a_Reviewing Notes - 0.5h_x000a__x000a_L3 Implementation:_x000a_ 1. Preliminary Tasks --- 3 H_x000a_2. Database Task preparations --- 3 H_x000a_     Table Splitting Preparation._x000a_     Export SAP source system_x000a_3. SAP task preparations ---2 H_x000a_    SPAM update_x000a_    Modifiable Transport requests_x000a_    Check for invalid temp tables_x000a_    Check the updates_x000a_    Incremental conversion_x000a_    note status_x000a_    Update SAP kernel to patch level and start SAP _x000a_    Execute BTCTRNS1 report_x000a_    Lock users_x000a_4. Tasks on File system  --- 0.5 H_x000a_    Instance profiles backup_x000a_5. Installation Activities -- 5 H_x000a_    System copy_x000a_6. Start Import source data -- 30 H_x000a_    Initialization_x000a_    Extraction  _x000a_    Configuration_x000a_    Checks_x000a_7. Post upgrade actions ---  15 H"/>
    <s v="Not Applicable"/>
    <s v="Not Applicable"/>
    <s v="Not Applicable"/>
    <s v="per Migration"/>
    <n v="21.75"/>
    <n v="60"/>
    <n v="1305"/>
    <n v="3"/>
    <s v="Service Owner - Expert - manager follow this link "/>
    <s v="Not Applicable"/>
    <m/>
    <d v="2022-07-26T00:00:00"/>
    <s v="Initial baseline"/>
    <d v="2022-04-01T00:00:00"/>
    <n v="3"/>
    <n v="0.1"/>
    <n v="1174.5"/>
    <m/>
    <x v="1"/>
  </r>
  <r>
    <x v="121"/>
    <x v="0"/>
    <s v="On_Prem_Public_Cloud"/>
    <s v="SAP"/>
    <x v="15"/>
    <x v="8"/>
    <x v="96"/>
    <s v="New Addition:_x000a_L3 Preparation and Coordination Activities:_x000a_Downloading the executables_x000a_Reviewing Notes _x000a__x000a_L3 Implementation:_x000a_ 1. Preliminary Tasks _x000a_2. Oracle Task preparations _x000a_3. SAP task preparations _x000a_    SPAM update_x000a_    Modifiable Transport requests_x000a_    Check for invalid temp tables_x000a_    Check the updates_x000a_    Incremental conversion_x000a_    note status_x000a_    Update SAP kernel to patch level and start SAP _x000a_    Execute BTCTRNS1 report_x000a_    Lock users_x000a_4. Tasks on File system _x000a_    Instance profiles backup_x000a_    Env file of orasid and sidadm_x000a_5. Installation Activities _x000a_6. Start Upgrade _x000a_    Initialization_x000a_    Extraction  _x000a_    Configuration_x000a_    Checks_x000a_    Preprocessing_x000a_    Execution _x000a_    Post processing_x000a_7. Post upgrade actions _x000a_                                                                  "/>
    <s v="Not Applicable"/>
    <s v="Not Applicable"/>
    <s v="Not Applicable"/>
    <s v="Per upgrade"/>
    <n v="21.75"/>
    <n v="46.5"/>
    <n v="1011.375"/>
    <n v="10"/>
    <s v="Service Owner - Expert - manager follow this link "/>
    <s v="Not Applicable"/>
    <m/>
    <d v="2022-07-26T00:00:00"/>
    <s v="Initial baseline"/>
    <d v="2022-04-01T00:00:00"/>
    <n v="3"/>
    <n v="0.1"/>
    <n v="910.23749999999995"/>
    <m/>
    <x v="1"/>
  </r>
  <r>
    <x v="122"/>
    <x v="0"/>
    <s v="On_Prem_Public_Cloud"/>
    <s v="SAP"/>
    <x v="15"/>
    <x v="7"/>
    <x v="97"/>
    <s v="1. Architecture planning and Preparation details:_x000a_2. Validating the software and database compaitability with the OS  _x000a_2. Server Build inputs and verification_x000a_3.  Gather License details _x000a_4.  Storage Input and varification _x000a_5.  Build and Integration :"/>
    <s v="Not Applicable"/>
    <s v="Not Applicable"/>
    <s v="Not Applicable"/>
    <s v="Per instance"/>
    <n v="21.75"/>
    <n v="35"/>
    <n v="761.25"/>
    <n v="8"/>
    <s v="Service Owner - Expert - manager follow this link "/>
    <s v="Not Applicable"/>
    <m/>
    <d v="2022-07-26T00:00:00"/>
    <s v="Initial baseline"/>
    <d v="2022-04-01T00:00:00"/>
    <n v="3"/>
    <n v="0.1"/>
    <n v="685.125"/>
    <m/>
    <x v="1"/>
  </r>
  <r>
    <x v="123"/>
    <x v="0"/>
    <s v="On_Prem_Public_Cloud"/>
    <s v="SAP"/>
    <x v="15"/>
    <x v="13"/>
    <x v="98"/>
    <s v="L3 Co-ordination Activities:_x000a__x000a_L3 Implementation Activities: : _x000a_Upgrade SPAM  _x000a_Upgrade Support packages _x000a_Run SGEN "/>
    <s v="Not Applicable"/>
    <s v="Not Applicable"/>
    <s v="Not Applicable"/>
    <s v="per SAP environment"/>
    <n v="21.75"/>
    <n v="15"/>
    <n v="326.25"/>
    <n v="3"/>
    <s v="Service Owner - Expert - manager follow this link "/>
    <s v="Not Applicable"/>
    <m/>
    <d v="2022-07-26T00:00:00"/>
    <s v="Initial baseline"/>
    <d v="2022-04-01T00:00:00"/>
    <n v="3"/>
    <n v="0.1"/>
    <n v="293.625"/>
    <m/>
    <x v="1"/>
  </r>
  <r>
    <x v="124"/>
    <x v="0"/>
    <s v="On_Prem"/>
    <s v="STORAGE"/>
    <x v="5"/>
    <x v="7"/>
    <x v="99"/>
    <s v="L3 coordination:_x000a_Requirement gathering and coordination with requestor and platform team _x000a_L3 Implementation Activities:_x000a_Setup DR "/>
    <s v="Not Applicable"/>
    <s v="Not Applicable"/>
    <s v="Not Applicable"/>
    <s v="Per DR"/>
    <n v="21.75"/>
    <n v="10"/>
    <n v="217.5"/>
    <n v="7"/>
    <s v="Service Owner - Expert - manager follow this link "/>
    <s v="Not Applicable"/>
    <m/>
    <d v="2023-04-05T00:00:00"/>
    <s v="V0.3"/>
    <d v="2023-04-05T00:00:00"/>
    <n v="2"/>
    <n v="0.1"/>
    <n v="195.75"/>
    <m/>
    <x v="1"/>
  </r>
  <r>
    <x v="125"/>
    <x v="0"/>
    <s v="On_Prem"/>
    <s v="STORAGE"/>
    <x v="5"/>
    <x v="7"/>
    <x v="100"/>
    <s v="L3 coordination:_x000a_Coordination with ITS _x000a_L3 Implementation Activities_x000a_Disable/Enable port-channel_x000a_Base installation for core switch _x000a_Configuration validation_x000a_CMDB update_x000a_ISL Configuration"/>
    <s v="Not Applicable"/>
    <s v="Not Applicable"/>
    <s v="Not Applicable"/>
    <s v="Per core Switch"/>
    <n v="21.75"/>
    <n v="6.5"/>
    <n v="141.375"/>
    <n v="15"/>
    <s v="Service Owner - Expert - manager follow this link "/>
    <s v="Not Applicable"/>
    <m/>
    <d v="2023-04-05T00:00:00"/>
    <s v="V0.3"/>
    <d v="2023-04-05T00:00:00"/>
    <n v="2"/>
    <n v="0.1"/>
    <n v="127.2375"/>
    <m/>
    <x v="1"/>
  </r>
  <r>
    <x v="126"/>
    <x v="0"/>
    <s v="On_Prem"/>
    <s v="STORAGE"/>
    <x v="5"/>
    <x v="7"/>
    <x v="101"/>
    <s v="L3 coordination:_x000a_Coordination with ITS _x000a_L3 Implementation Activities:_x000a_Disable/Enable port-channel _x000a_Base installation for core switch _x000a_Configuration validation _x000a_CMDB update "/>
    <s v="Not Applicable"/>
    <s v="Not Applicable"/>
    <s v="Not Applicable"/>
    <s v="Per edge Switch"/>
    <n v="21.75"/>
    <n v="4.5"/>
    <n v="97.875"/>
    <n v="15"/>
    <s v="Service Owner - Expert - manager follow this link "/>
    <s v="Not Applicable"/>
    <m/>
    <d v="2023-04-05T00:00:00"/>
    <s v="V0.3"/>
    <d v="2023-04-05T00:00:00"/>
    <n v="2"/>
    <n v="0.1"/>
    <n v="88.087500000000006"/>
    <m/>
    <x v="1"/>
  </r>
  <r>
    <x v="127"/>
    <x v="0"/>
    <s v="On_Prem"/>
    <s v="STORAGE"/>
    <x v="5"/>
    <x v="7"/>
    <x v="102"/>
    <s v="Requirement gathering for switch installation_x000a_Collect existing port and respective device detail_x000a_ISL port identification and configuration_x000a_Communication with Network, Proximity team_x000a_Switch backup_x000a_Connectivity testing "/>
    <s v="Not Applicable"/>
    <s v="Not Applicable"/>
    <s v="Not Applicable"/>
    <s v="Per Site (Does not matter room# and switch#)"/>
    <n v="21.75"/>
    <n v="8"/>
    <n v="174"/>
    <n v="15"/>
    <s v="Service Owner - Expert - manager follow this link "/>
    <s v="Not Applicable"/>
    <m/>
    <d v="2023-04-05T00:00:00"/>
    <s v="V0.3"/>
    <d v="2023-04-05T00:00:00"/>
    <n v="2"/>
    <n v="0.1"/>
    <n v="156.6"/>
    <m/>
    <x v="1"/>
  </r>
  <r>
    <x v="128"/>
    <x v="0"/>
    <s v="On_Prem"/>
    <s v="STORAGE"/>
    <x v="5"/>
    <x v="7"/>
    <x v="103"/>
    <s v="L3 coordination:_x000a_Coordination with ITS, Vendor, Proximity during deployment_x000a_L3 Implementation Activities:_x000a_Post validation after expansion "/>
    <s v="Not Applicable"/>
    <s v="Not Applicable"/>
    <s v="Not Applicable"/>
    <s v="per Unit"/>
    <n v="21.75"/>
    <n v="4"/>
    <n v="87"/>
    <n v="7"/>
    <s v="Service Owner - Expert - manager follow this link "/>
    <s v="Not Applicable"/>
    <m/>
    <d v="2023-04-05T00:00:00"/>
    <s v="V0.3"/>
    <d v="2023-04-05T00:00:00"/>
    <n v="2"/>
    <n v="0.1"/>
    <n v="78.3"/>
    <m/>
    <x v="1"/>
  </r>
  <r>
    <x v="129"/>
    <x v="0"/>
    <s v="On_Prem"/>
    <s v="STORAGE"/>
    <x v="5"/>
    <x v="8"/>
    <x v="104"/>
    <s v="1.Identify the list of servers &amp; storages FS/Volume for each servers which have to be migrated_x000a_2.Identify the network infrastructure ,Bandwith utilization,port configuration and throughput on each storage for the data migration requirement _x000a_3.set up the migration software/tool on Source &amp; Target Storage to migrate the data _x000a_4.Migrate the data from old filesystem/volume to new filesystem and configure the New filesystem for new list of servers _x000a_5.Plan for cut over date and sync the data on target filesystem/volume on cutover date "/>
    <s v="Not Applicable"/>
    <s v="Not Applicable"/>
    <s v="Not Applicable"/>
    <s v="per File system/Volume"/>
    <n v="21.75"/>
    <n v="5"/>
    <n v="108.75"/>
    <n v="4"/>
    <s v="Service Owner - Expert - manager follow this link "/>
    <s v="Not Applicable"/>
    <m/>
    <d v="2023-04-05T00:00:00"/>
    <s v="V0.3"/>
    <d v="2023-04-05T00:00:00"/>
    <n v="2"/>
    <n v="0.1"/>
    <n v="97.875"/>
    <m/>
    <x v="1"/>
  </r>
  <r>
    <x v="130"/>
    <x v="0"/>
    <s v="On_Prem"/>
    <s v="Storage"/>
    <x v="5"/>
    <x v="7"/>
    <x v="105"/>
    <s v="Download &amp; Validate correct OVA from vendor support page:_x000a_Discussion with Vmware Team following the OEM best practices:_x000a_Deploying the code &amp; initializing the appliance:_x000a_Initial setup &amp; discover storage/switch CIs: _x000a_CMDB update:"/>
    <s v="Not Applicable"/>
    <s v="Not Applicable"/>
    <s v="Not Applicable"/>
    <s v="per software deployment"/>
    <n v="21.75"/>
    <n v="15.299999999999999"/>
    <n v="332.77499999999998"/>
    <n v="7"/>
    <s v="Service Owner - Expert - manager follow this link "/>
    <s v="Not Applicable"/>
    <m/>
    <d v="2022-07-26T00:00:00"/>
    <s v="Initial baseline"/>
    <d v="2022-04-01T00:00:00"/>
    <n v="3"/>
    <n v="0.1"/>
    <n v="299.4975"/>
    <m/>
    <x v="1"/>
  </r>
  <r>
    <x v="131"/>
    <x v="0"/>
    <s v="On_Prem"/>
    <s v="Unix "/>
    <x v="17"/>
    <x v="8"/>
    <x v="106"/>
    <s v="L3 Coordination Activities::_x000a_Prep work on data migration by collecting VG, FS, Lun details_x000a_Capacity checking_x000a_Performance checking after migration  _x000a_Post migration - coordinate with stakeholders to performa HA test_x000a__x000a_L3 Implementation Activities::_x000a_Validation of Migration Checklist_x000a_"/>
    <s v="Not Applicable"/>
    <s v="Not Applicable"/>
    <s v="Not Applicable"/>
    <s v="Per CI"/>
    <n v="21.75"/>
    <n v="7"/>
    <n v="152.25"/>
    <n v="2"/>
    <s v="Service Owner - Expert - manager follow this link "/>
    <s v="Not Applicable"/>
    <s v="i) Data migration to new hadware depend on filesystem type, size, bandwidth and number data volumes(VG's)_x000a_it may vary case to case. We are good with timelines for per CI."/>
    <d v="2022-07-26T00:00:00"/>
    <s v="Initial baseline"/>
    <d v="2022-04-01T00:00:00"/>
    <n v="3"/>
    <n v="0.1"/>
    <n v="137.02500000000001"/>
    <m/>
    <x v="1"/>
  </r>
  <r>
    <x v="132"/>
    <x v="0"/>
    <s v="On_Prem"/>
    <s v="Unix "/>
    <x v="7"/>
    <x v="8"/>
    <x v="107"/>
    <s v="L3 Implementation  Activities:_x000a_Enclosure Configuration-IP Address assignment, VCM define to domain group and download configuration from domain group)_x000a_Firmware Update during enclosure installation (OA and VCM )_x000a_Discover Chassis &amp; blade in HP Insight Control and HP IRS _x000a__x000a_L3 Coordination :_x000a_Troubleshooting with first BLADE installation  (network, uplinks)._x000a_Approve IQ Hardware document"/>
    <s v="Not Applicable"/>
    <s v="Not Applicable"/>
    <s v="Not Applicable"/>
    <s v="Per Chassis"/>
    <n v="21.75"/>
    <n v="10"/>
    <n v="217.5"/>
    <n v="10"/>
    <s v="Service Owner - Expert - manager follow this link "/>
    <s v="Not Applicable"/>
    <s v="i) once the proximity team shares console(IP and credentials) based on attached GIFT from VC profile can be configured._x000a_Ii) Modified Efforts as multiple tasks involvent including firmware updgrades."/>
    <d v="2022-07-26T00:00:00"/>
    <s v="Initial baseline"/>
    <d v="2022-04-01T00:00:00"/>
    <n v="3"/>
    <n v="0.1"/>
    <n v="195.75"/>
    <m/>
    <x v="1"/>
  </r>
  <r>
    <x v="133"/>
    <x v="0"/>
    <s v="On_Prem"/>
    <s v="Unix "/>
    <x v="17"/>
    <x v="8"/>
    <x v="108"/>
    <s v="L3 Coordination:_x000a_Assessing the applications _x000a_Resource validation( FS, IP, Firewall,NFS etc) _x000a_VM Client compatibility  _x000a_Installation/ upgrade _x000a_Identify correct server to host the VM _x000a_Capacity checking _x000a_Performance checking after migration _x000a__x000a_L3 Implementation Activities::_x000a_Verification of the Server _x000a_"/>
    <s v="Not Applicable"/>
    <s v="Not Applicable"/>
    <s v="Not Applicable"/>
    <s v="Per CI"/>
    <n v="21.75"/>
    <n v="10"/>
    <n v="217.5"/>
    <n v="10"/>
    <s v="Service Owner - Expert - manager follow this link "/>
    <s v="Not Applicable"/>
    <m/>
    <d v="2022-07-26T00:00:00"/>
    <s v="Initial baseline"/>
    <d v="2022-04-01T00:00:00"/>
    <n v="3"/>
    <n v="0.1"/>
    <n v="195.75"/>
    <m/>
    <x v="1"/>
  </r>
  <r>
    <x v="134"/>
    <x v="0"/>
    <s v="On_Prem"/>
    <s v="Unix "/>
    <x v="42"/>
    <x v="8"/>
    <x v="109"/>
    <s v="L3 Coordination Activities:_x000a_Assessing the applications_x000a_Resource validation( FS, IP, Firewall,NFS etc)_x000a_VM Client compatibility_x000a_Installation/ upgrade _x000a_Identify correct server to host the VM _x000a_Capacity checking _x000a_Performance checking after migration _x000a__x000a_L3 Implementation Activities::_x000a_Verification of the Server_x000a__x000a_"/>
    <s v="Not Applicable"/>
    <s v="Not Applicable"/>
    <s v="ITS-CHMOD0004031"/>
    <s v="per CI"/>
    <n v="21.75"/>
    <n v="5.0999999999999996"/>
    <n v="110.925"/>
    <n v="5"/>
    <s v="Service Owner - Expert - manager follow this link "/>
    <s v="Not Applicable"/>
    <s v="If more than 5 Servers migration it comes under PMS_x000a__x000a_Given time lines and scope of work appplicable."/>
    <d v="2022-07-26T00:00:00"/>
    <s v="Initial baseline"/>
    <d v="2022-04-01T00:00:00"/>
    <n v="3"/>
    <n v="0.1"/>
    <n v="99.832499999999996"/>
    <m/>
    <x v="1"/>
  </r>
  <r>
    <x v="135"/>
    <x v="0"/>
    <s v="On_Prem"/>
    <s v="Unix "/>
    <x v="43"/>
    <x v="7"/>
    <x v="110"/>
    <s v="L3 Implementation Activities:_x000a_L3 Review &amp; Verification post installation  _x000a_IQ – verification &amp; approval (verify FS creation/ownership, RAM, CPU, kernel, FS block size)_x000a__x000a_L3 Co-ordination Activities:_x000a_Gather requirement in GIFT form and verify GIFT and ensure completeness._x000a__x000a_"/>
    <s v="Not Applicable"/>
    <s v="Not Applicable"/>
    <s v="Not Applicable"/>
    <s v="per VM"/>
    <n v="21.75"/>
    <n v="4.5"/>
    <n v="97.875"/>
    <n v="5"/>
    <s v="Service Owner - Expert - manager follow this link "/>
    <s v="Not Applicable"/>
    <s v="i) Gift from has to be attached with all required details._x000a_Ii)If more than 5 Servers build it comes under PMS_x000a_iii)Given time lines and scope of work appplicable."/>
    <d v="2022-07-26T00:00:00"/>
    <s v="Initial baseline"/>
    <d v="2022-04-01T00:00:00"/>
    <n v="3"/>
    <n v="0.1"/>
    <n v="88.087500000000006"/>
    <m/>
    <x v="1"/>
  </r>
  <r>
    <x v="136"/>
    <x v="0"/>
    <s v="On_Prem"/>
    <s v="Virtual Directory Services"/>
    <x v="44"/>
    <x v="8"/>
    <x v="111"/>
    <s v="L3 Implementation Activities::_x000a_Planning _x000a_Implementation_x000a_Validation_x000a_"/>
    <s v="No"/>
    <s v="No"/>
    <s v="Not Applicable"/>
    <s v="Per Server"/>
    <n v="21.75"/>
    <n v="8"/>
    <n v="174"/>
    <n v="14"/>
    <s v="Service Owner - Expert - manager follow this link "/>
    <s v="Not Applicable"/>
    <m/>
    <d v="2022-07-26T00:00:00"/>
    <s v="Initial baseline"/>
    <d v="2022-04-01T00:00:00"/>
    <n v="3"/>
    <n v="0.1"/>
    <n v="156.6"/>
    <m/>
    <x v="1"/>
  </r>
  <r>
    <x v="137"/>
    <x v="0"/>
    <s v="On_Prem"/>
    <s v="WINDOWS"/>
    <x v="31"/>
    <x v="8"/>
    <x v="112"/>
    <s v="L3 Coordination Activities:_x000a_L3 Implementation Activities:_x000a_- Requirement consolidation of old shares_x000a_- Old share full backup_x000a_- Data Migration script creation_x000a_- Monitoring, comparison and remediation_x000a_- Share cut over"/>
    <s v="Not Applicable"/>
    <s v="Not Applicable"/>
    <s v="Not Applicable"/>
    <s v="Per file share "/>
    <n v="21.75"/>
    <n v="14"/>
    <n v="304.5"/>
    <n v="4"/>
    <s v="Service Owner - Expert - manager follow this link "/>
    <s v="Not Applicable"/>
    <m/>
    <d v="2022-07-26T00:00:00"/>
    <s v="Initial baseline"/>
    <d v="2022-04-01T00:00:00"/>
    <n v="3"/>
    <n v="0.1"/>
    <n v="274.05"/>
    <m/>
    <x v="1"/>
  </r>
  <r>
    <x v="138"/>
    <x v="0"/>
    <s v="On_Prem"/>
    <s v="WINDOWS"/>
    <x v="31"/>
    <x v="8"/>
    <x v="113"/>
    <s v="L3 Coordination Activities::_x000a_L3 Implementation Activities::_x000a_- Requirement consolidation of old shares_x000a_- Data Migration script creation_x000a_- Monitoring, comparison and remediation_x000a_"/>
    <s v="Not Applicable"/>
    <s v="Not Applicable"/>
    <s v="Not Applicable"/>
    <s v="Per Execution "/>
    <n v="21.75"/>
    <n v="12.75"/>
    <n v="277.3125"/>
    <n v="7"/>
    <s v="Service Owner - Expert - manager follow this link "/>
    <s v="Not Applicable"/>
    <m/>
    <d v="2022-07-26T00:00:00"/>
    <s v="Initial baseline"/>
    <d v="2022-04-01T00:00:00"/>
    <n v="3"/>
    <n v="0.1"/>
    <n v="249.58125000000001"/>
    <m/>
    <x v="1"/>
  </r>
  <r>
    <x v="139"/>
    <x v="0"/>
    <s v="On_Prem"/>
    <s v="WINDOWS"/>
    <x v="31"/>
    <x v="8"/>
    <x v="114"/>
    <s v="L3 Coordination:_x000a__x000a_- Assessing the applications compatibility _x000a_- Resource validation &amp; Capacity checking (ESXi, Network, Firewall, NFS etc)_x000a_- Identify correct ESXi server to host the VM _x000a__x000a_L3 Implementation Activities ::_x000a__x000a_- Physical to Virtual Migration (P2V) - BAU_x000a_- Performance checking &amp; Verification of server after migration"/>
    <s v="Not Applicable"/>
    <s v="Not Applicable"/>
    <s v="Not Applicable"/>
    <s v="Per CI"/>
    <n v="21.75"/>
    <n v="8.5"/>
    <n v="184.875"/>
    <n v="5"/>
    <s v="Service Owner - Expert - manager follow this link "/>
    <s v="Not Applicable"/>
    <m/>
    <d v="2022-07-26T00:00:00"/>
    <s v="Initial baseline"/>
    <d v="2022-04-01T00:00:00"/>
    <n v="3"/>
    <n v="0.1"/>
    <n v="166.38749999999999"/>
    <m/>
    <x v="1"/>
  </r>
  <r>
    <x v="140"/>
    <x v="0"/>
    <s v="On_Prem"/>
    <s v="WINDOWS"/>
    <x v="31"/>
    <x v="8"/>
    <x v="115"/>
    <s v="L3 Coordination Activities ::_x000a__x000a_- Assessing the Applications_x000a_- Resource validation (ESXi, Network, Firewall, NFS etc.)_x000a__x000a_L3 Implementation Activities::_x000a__x000a_- VM MIgration_x000a_- Performance checking &amp; Verification of server after migration"/>
    <s v="Virtual Server Migration - V2V"/>
    <s v="https://sanofiservices.service-now.com/onesupport?id=sc_cat_item&amp;table=sc_cat_item&amp;sys_id=51efa2b51bb8e4109c1cbb739b4bcb11"/>
    <s v="ITS-CHMOD0003704"/>
    <s v="per VM"/>
    <n v="21.75"/>
    <n v="5.0999999999999996"/>
    <n v="110.925"/>
    <n v="5"/>
    <s v="Service Owner - Expert - manager follow this link "/>
    <s v="Not Applicable"/>
    <m/>
    <d v="2022-07-26T00:00:00"/>
    <s v="Initial baseline"/>
    <d v="2022-04-01T00:00:00"/>
    <n v="3"/>
    <n v="0.1"/>
    <n v="99.832499999999996"/>
    <m/>
    <x v="1"/>
  </r>
  <r>
    <x v="141"/>
    <x v="0"/>
    <s v="On_Prem"/>
    <s v="DB--Oracle"/>
    <x v="1"/>
    <x v="0"/>
    <x v="116"/>
    <s v="N/A"/>
    <s v="Not Applicable"/>
    <s v="Not Applicable"/>
    <s v="Not Applicable"/>
    <s v="Not Applicable"/>
    <n v="21.75"/>
    <s v="IMS"/>
    <s v="IMS"/>
    <n v="7"/>
    <s v="Service Owner - Expert - manager follow this link "/>
    <s v="Not Applicable"/>
    <m/>
    <d v="2022-07-26T00:00:00"/>
    <s v="Initial baseline"/>
    <d v="2022-04-01T00:00:00"/>
    <n v="3"/>
    <n v="0.1"/>
    <s v="IMS"/>
    <m/>
    <x v="0"/>
  </r>
  <r>
    <x v="142"/>
    <x v="0"/>
    <s v="On_Prem"/>
    <s v="DB--Oracle"/>
    <x v="1"/>
    <x v="0"/>
    <x v="117"/>
    <s v="N/A"/>
    <s v="Oracle Operations"/>
    <s v="https://sanofiservices.service-now.com/onesupport?id=sc_cat_item_guide&amp;table=sc_cat_item&amp;sys_id=8ef52e074f098fc4cb48c0428110c701"/>
    <s v="ITS-CHMOD0000424"/>
    <s v="Not Applicable"/>
    <n v="21.75"/>
    <s v="IMS"/>
    <s v="IMS"/>
    <n v="5"/>
    <s v="Service Owner - Expert - manager follow this link "/>
    <n v="0.6"/>
    <m/>
    <d v="2022-07-26T00:00:00"/>
    <s v="Initial baseline"/>
    <d v="2022-04-01T00:00:00"/>
    <n v="3"/>
    <n v="0.1"/>
    <s v="IMS"/>
    <m/>
    <x v="0"/>
  </r>
  <r>
    <x v="143"/>
    <x v="0"/>
    <s v="On_Prem"/>
    <s v="WINDOWS"/>
    <x v="45"/>
    <x v="7"/>
    <x v="118"/>
    <s v="L3 Implementation Activities::_x000a__x000a_- L3 Review &amp; Verification post installation _x000a_- IQ – verification &amp; approval _x000a__x000a_L3 Co-ordination Activities ::_x000a__x000a_- Gather requirement in GIFT form and verify GIFT and ensure completeness"/>
    <s v="Not Applicable"/>
    <s v="Not Applicable"/>
    <s v="Not Applicable"/>
    <s v="per VM"/>
    <n v="21.75"/>
    <n v="4.25"/>
    <n v="92.4375"/>
    <n v="7"/>
    <s v="Service Owner - Expert - manager follow this link "/>
    <s v="Not Applicable"/>
    <m/>
    <d v="2022-07-26T00:00:00"/>
    <s v="Initial baseline"/>
    <d v="2022-04-01T00:00:00"/>
    <n v="3"/>
    <n v="0.1"/>
    <n v="83.193749999999994"/>
    <m/>
    <x v="1"/>
  </r>
  <r>
    <x v="144"/>
    <x v="0"/>
    <s v="On_Prem"/>
    <s v="WINDOWS"/>
    <x v="45"/>
    <x v="7"/>
    <x v="119"/>
    <s v="L3 Coordination Activities:_x000a_L3 Implementation Activities:_x000a_IP reservation and assignments_x000a_Windows Failover Clustering installation and configuration"/>
    <s v="Not Applicable"/>
    <s v="Not Applicable"/>
    <s v="Not Applicable"/>
    <s v="Per cluster node"/>
    <n v="21.75"/>
    <n v="2.25"/>
    <n v="48.9375"/>
    <n v="5"/>
    <s v="Service Owner - Expert - manager follow this link "/>
    <s v="Not Applicable"/>
    <m/>
    <d v="2022-07-26T00:00:00"/>
    <s v="Initial baseline"/>
    <d v="2022-04-01T00:00:00"/>
    <n v="3"/>
    <n v="0.1"/>
    <n v="44.043750000000003"/>
    <m/>
    <x v="1"/>
  </r>
  <r>
    <x v="145"/>
    <x v="0"/>
    <s v="On_Prem"/>
    <s v="WINDOWS/Citrix"/>
    <x v="46"/>
    <x v="7"/>
    <x v="120"/>
    <s v="L3 Coordination Activities:_x000a_L3 Implementation Activities:_x000a_- Host name and IP reservation and assignment_x000a_-  L3 related task in CRQ, IQ approval"/>
    <s v="Not Applicable"/>
    <s v="Not Applicable"/>
    <s v="Not Applicable"/>
    <s v="Per server"/>
    <n v="21.75"/>
    <n v="2.5"/>
    <n v="54.375"/>
    <n v="7"/>
    <s v="Service Owner - Expert - manager follow this link "/>
    <s v="Not Applicable"/>
    <m/>
    <d v="2022-07-26T00:00:00"/>
    <s v="Initial baseline"/>
    <d v="2022-04-01T00:00:00"/>
    <n v="3"/>
    <n v="0.1"/>
    <n v="48.9375"/>
    <m/>
    <x v="1"/>
  </r>
  <r>
    <x v="146"/>
    <x v="0"/>
    <s v="On_Prem"/>
    <s v="DB--Oracle"/>
    <x v="1"/>
    <x v="7"/>
    <x v="121"/>
    <s v="Copy the scripts on server - 15 mins_x000a_Connect to DB and execute the scripts - 30 mins_x000a_Validation - 30 mins"/>
    <s v="Oracle Operations"/>
    <s v="https://sanofiservices.service-now.com/onesupport?id=sc_cat_item_guide&amp;table=sc_cat_item&amp;sys_id=8ef52e074f098fc4cb48c0428110c701"/>
    <s v="Not Applicable"/>
    <s v="Per Request"/>
    <n v="21.75"/>
    <n v="3.5"/>
    <n v="76.125"/>
    <n v="5"/>
    <s v="Service Owner - Expert - manager follow this link "/>
    <s v="Not Applicable"/>
    <m/>
    <d v="2022-07-26T00:00:00"/>
    <s v="Initial baseline"/>
    <d v="2022-04-01T00:00:00"/>
    <n v="3"/>
    <n v="0.1"/>
    <n v="68.512500000000003"/>
    <m/>
    <x v="1"/>
  </r>
  <r>
    <x v="147"/>
    <x v="0"/>
    <s v="On_Prem"/>
    <s v="DB--Oracle"/>
    <x v="1"/>
    <x v="14"/>
    <x v="122"/>
    <s v="Take source backup/ If backups available, check they are accesisble on restore VM-2 hrs_x000a_Create environment files/ parameter file/Startup DB in NOMOUNT -1 hrs_x000a_Restore Backups - 4 hrs _x000a_Validate the DB -1 hrs"/>
    <s v="Not Applicable"/>
    <s v="Not Applicable"/>
    <s v="Not Applicable"/>
    <s v="Per Database"/>
    <n v="21.75"/>
    <n v="3.5"/>
    <n v="0"/>
    <n v="10"/>
    <s v="Service Owner - Expert - manager follow this link "/>
    <n v="0.8"/>
    <m/>
    <d v="2025-03-12T00:00:00"/>
    <s v="V2.1"/>
    <d v="2022-04-01T00:00:00"/>
    <n v="3"/>
    <n v="0.1"/>
    <n v="0"/>
    <n v="0"/>
    <x v="1"/>
  </r>
  <r>
    <x v="148"/>
    <x v="0"/>
    <s v="On_Prem"/>
    <s v="DB--SQL"/>
    <x v="2"/>
    <x v="7"/>
    <x v="121"/>
    <s v="Need to check server access, after check Scripts as per client requirments and execute script on specific Object"/>
    <s v="SQL Server Operations"/>
    <s v="https://sanofiservices.service-now.com/onesupport?id=sc_cat_item_guide&amp;table=sc_cat_item&amp;sys_id=d2802610db198f8805ea766eaf961961"/>
    <s v="Not Applicable"/>
    <s v="Per Request"/>
    <n v="21.75"/>
    <n v="3.5"/>
    <n v="76.125"/>
    <n v="5"/>
    <s v="Service Owner - Expert - manager follow this link "/>
    <s v="Not Applicable"/>
    <m/>
    <d v="2022-07-26T00:00:00"/>
    <s v="Initial baseline"/>
    <d v="2022-04-01T00:00:00"/>
    <n v="3"/>
    <n v="0.1"/>
    <n v="68.512500000000003"/>
    <m/>
    <x v="1"/>
  </r>
  <r>
    <x v="149"/>
    <x v="0"/>
    <s v="On_Prem"/>
    <s v="DB--SQL"/>
    <x v="2"/>
    <x v="14"/>
    <x v="123"/>
    <s v="Need to collect source and target servers, check access, Need to clarify to move databases. Drive size, space and time duration to move the database on Target,"/>
    <s v="Not Applicable"/>
    <s v="Not Applicable"/>
    <s v="Not Applicable"/>
    <s v="Per Database"/>
    <n v="21.75"/>
    <n v="1.5"/>
    <n v="32.625"/>
    <n v="2"/>
    <s v="Service Owner - Expert - manager follow this link "/>
    <s v="Not Applicable"/>
    <m/>
    <d v="2025-03-12T00:00:00"/>
    <s v="V2.1"/>
    <d v="2022-04-01T00:00:00"/>
    <n v="3"/>
    <n v="0.1"/>
    <n v="29.362500000000001"/>
    <m/>
    <x v="1"/>
  </r>
  <r>
    <x v="150"/>
    <x v="1"/>
    <s v="On_Prem"/>
    <s v="Scheduling"/>
    <x v="47"/>
    <x v="7"/>
    <x v="124"/>
    <s v="&quot;1: Check if application server and DB server are accessible and VTOM services are up and running._x000a_2: Check if respective ports are enabled with respect VTOM server and test server._x000a_3: Take export of both environments(plannings) of old servers using &quot;&quot;vtexport&quot;&quot;_x000a_4: STOP respective plannings on VTOM server. _x000a_5: Update the plannings for new servers and import on VTOM test environment._x000a_6: Update the new servers with necessary files before importing the plannings._x000a_7: once above steps are done start the vtom engines.&quot;"/>
    <s v="Not Applicable"/>
    <s v="Not Applicable"/>
    <s v="Not Applicable"/>
    <s v="Per Job"/>
    <n v="21.75"/>
    <n v="2.5"/>
    <n v="54.375"/>
    <s v="1 to 5 jobs: 3 days_x000b_6 to 10 jobs: 5 days_x000b_11 to 20 jobs: 7 days_x000b_21 to 100 jobs: 15 days_x000b_101 to 200 jobs: 20 days_x000b_201 jobs and more : 30 days"/>
    <s v="Service Owner - Expert - manager follow this link "/>
    <s v="Not Applicable"/>
    <m/>
    <d v="2025-03-12T00:00:00"/>
    <s v="V2.1"/>
    <d v="2022-04-01T00:00:00"/>
    <n v="3"/>
    <n v="0.1"/>
    <n v="48.9375"/>
    <m/>
    <x v="1"/>
  </r>
  <r>
    <x v="151"/>
    <x v="1"/>
    <s v="On_Prem"/>
    <s v="Scheduling"/>
    <x v="48"/>
    <x v="7"/>
    <x v="125"/>
    <s v="Implementation Activities _x000a_APP Deployment "/>
    <s v="Not Applicable"/>
    <s v="Not Applicable"/>
    <s v="Not Applicable"/>
    <s v="Per CI"/>
    <n v="21.75"/>
    <n v="0.75"/>
    <n v="16.3125"/>
    <n v="2"/>
    <s v="Service Owner - Expert - manager follow this link "/>
    <s v="Not Applicable"/>
    <m/>
    <d v="2025-03-12T00:00:00"/>
    <s v="V2.1"/>
    <d v="2022-04-01T00:00:00"/>
    <n v="3"/>
    <n v="0.1"/>
    <n v="14.68125"/>
    <m/>
    <x v="1"/>
  </r>
  <r>
    <x v="152"/>
    <x v="1"/>
    <s v="On_Prem"/>
    <s v="Scheduling"/>
    <x v="49"/>
    <x v="7"/>
    <x v="126"/>
    <s v="1.We need to login Application Server _x000a_2.download the package and copy to server’s E/admin/exploit/localcopy._x000a_3.Copy Deploy.ksh Script from below location : D:\admin from FLOSBOXAIP02 _x000a_4.Downloaded package and deploy.ksh script file kept in one location. _x000a_5.Before updating the new package, we need to check what is the latest package version._x000a_6.We checked the current package version is old. Now we need to go to that path where we have downloaded the package and deploy.ksh script file and run the command ./deploy.ksh --tarball=package name –download._x000a_7.After the update package we need to verify the current version_x000a_8.After the package update, We need to monitor the job SERW.FileArcApp in VTOM all the details available in the CTASK."/>
    <s v="Not Applicable"/>
    <s v="Not Applicable"/>
    <s v="Not Applicable"/>
    <s v="Per CI"/>
    <n v="21.75"/>
    <n v="0.7"/>
    <n v="15.225"/>
    <n v="2"/>
    <s v="Service Owner - Expert - manager follow this link "/>
    <s v="Not Applicable"/>
    <m/>
    <d v="2025-03-12T00:00:00"/>
    <s v="V2.1"/>
    <d v="2022-04-01T00:00:00"/>
    <n v="3"/>
    <n v="0.1"/>
    <n v="13.702500000000001"/>
    <m/>
    <x v="1"/>
  </r>
  <r>
    <x v="153"/>
    <x v="0"/>
    <s v="On_Prem"/>
    <s v="DB--Oracle"/>
    <x v="1"/>
    <x v="11"/>
    <x v="127"/>
    <s v="Agent Installation _x000a_Download required Binaries on the target server where need to install the Agent._x000a_Unzip binaries._x000a_Install binaries._x000a_Set the oracle home path._x000a_Do a connectivity test from our end._x000a_And clear the unwanted binaries."/>
    <s v="Oracle Operations"/>
    <s v="https://sanofiservices.service-now.com/onesupport?id=sc_cat_item_guide&amp;table=sc_cat_item&amp;sys_id=8ef52e074f098fc4cb48c0428110c701"/>
    <s v="ITS-CHMOD0000426"/>
    <s v="Not Applicable"/>
    <n v="21.75"/>
    <s v="IMS"/>
    <s v="IMS"/>
    <n v="10"/>
    <s v="Service Owner - Expert - manager follow this link "/>
    <s v="Not Applicable"/>
    <m/>
    <d v="2022-07-26T00:00:00"/>
    <s v="Initial baseline"/>
    <d v="2022-04-01T00:00:00"/>
    <n v="3"/>
    <n v="0.1"/>
    <s v="IMS"/>
    <m/>
    <x v="0"/>
  </r>
  <r>
    <x v="154"/>
    <x v="1"/>
    <s v="On_Prem"/>
    <s v="MFT--CFT"/>
    <x v="38"/>
    <x v="10"/>
    <x v="128"/>
    <s v="1. Based on requiremets , Create of CFT Parameters_x000a_2. Share CFT Parameters with Batch team_x000a_3. Batch team will share the results "/>
    <s v="Not Applicable"/>
    <s v="Not Applicable"/>
    <s v="Not Applicable"/>
    <s v="Per set-up"/>
    <n v="21.75"/>
    <n v="2.5"/>
    <n v="54.375"/>
    <n v="2"/>
    <s v="Service Owner - Expert - manager follow this link "/>
    <s v="Not Applicable"/>
    <m/>
    <d v="2022-07-26T00:00:00"/>
    <s v="Initial baseline"/>
    <d v="2022-04-01T00:00:00"/>
    <n v="3"/>
    <n v="0.1"/>
    <n v="48.9375"/>
    <m/>
    <x v="1"/>
  </r>
  <r>
    <x v="155"/>
    <x v="0"/>
    <s v="On_Prem"/>
    <s v="DB--Oracle"/>
    <x v="1"/>
    <x v="15"/>
    <x v="122"/>
    <s v="Backup and restore_x000a_Check whether both source and target database are getting backup regularly ._x000a_Check required backup completed successfully_x000a_Take required backup on target database before restore start._x000a_Restore database._x000a_Make sure required backup is restored and get conformation from application team._x000a_If required rollback target database with its own backup ."/>
    <s v="Oracle Operations"/>
    <s v="https://sanofiservices.service-now.com/onesupport?id=sc_cat_item_guide&amp;table=sc_cat_item&amp;sys_id=8ef52e074f098fc4cb48c0428110c701"/>
    <s v="Not Applicable"/>
    <s v="Not Applicable"/>
    <n v="21.75"/>
    <s v="IMS"/>
    <s v="IMS"/>
    <n v="10"/>
    <s v="Service Owner - Expert - manager follow this link "/>
    <s v="Not Applicable"/>
    <m/>
    <d v="2022-07-26T00:00:00"/>
    <s v="Initial baseline"/>
    <d v="2022-04-01T00:00:00"/>
    <n v="3"/>
    <n v="0.1"/>
    <s v="IMS"/>
    <m/>
    <x v="0"/>
  </r>
  <r>
    <x v="156"/>
    <x v="0"/>
    <s v="On_Prem"/>
    <s v="DB--SQL"/>
    <x v="2"/>
    <x v="0"/>
    <x v="129"/>
    <s v="Download maintenance scripts_x000a_Execute scripts_x000a_Verify jobs created_x000a_Execute jobs and confirm on completion_x000a_"/>
    <s v="Not Applicable"/>
    <s v="Not Applicable"/>
    <s v="Not Applicable"/>
    <s v="Not Applicable"/>
    <n v="21.75"/>
    <s v="IMS"/>
    <s v="IMS"/>
    <n v="7"/>
    <s v="Service Owner - Expert - manager follow this link "/>
    <s v="Not Applicable"/>
    <m/>
    <d v="2022-07-26T00:00:00"/>
    <s v="Initial baseline"/>
    <d v="2022-04-01T00:00:00"/>
    <n v="3"/>
    <n v="0.1"/>
    <s v="IMS"/>
    <m/>
    <x v="0"/>
  </r>
  <r>
    <x v="157"/>
    <x v="0"/>
    <s v="On_Prem"/>
    <s v="DB--SQL"/>
    <x v="2"/>
    <x v="15"/>
    <x v="130"/>
    <s v="Verify DB version of Source Server_x000a_Verify DB size_x000a_Verify DB version of Target Server_x000a_Target Version should be greater than or equal to Source Server_x000a_Verify free space availability over Target Server_x000a_Verify Backup medium - If it's Local backup, then proceed with manual backup &amp; restore. Else if it's through Commvault, collaborate with Backup team."/>
    <s v="SQL Server Operations"/>
    <s v="https://sanofiservices.service-now.com/onesupport?id=sc_cat_item_guide&amp;table=sc_cat_item&amp;sys_id=d2802610db198f8805ea766eaf961961"/>
    <s v="Not Applicable"/>
    <s v="Not Applicable"/>
    <n v="21.75"/>
    <s v="IMS"/>
    <s v="IMS"/>
    <n v="10"/>
    <s v="Service Owner - Expert - manager follow this link "/>
    <s v="Not Applicable"/>
    <m/>
    <d v="2022-07-26T00:00:00"/>
    <s v="Initial baseline"/>
    <d v="2022-04-01T00:00:00"/>
    <n v="3"/>
    <n v="0.1"/>
    <s v="IMS"/>
    <m/>
    <x v="0"/>
  </r>
  <r>
    <x v="158"/>
    <x v="1"/>
    <s v="On_Prem"/>
    <s v="MFT--CFT"/>
    <x v="38"/>
    <x v="0"/>
    <x v="131"/>
    <n v="0"/>
    <s v="Not Applicable"/>
    <s v="Not Applicable"/>
    <s v="Not Applicable"/>
    <s v="Per set-up"/>
    <n v="21.75"/>
    <s v="IMS"/>
    <s v="IMS"/>
    <n v="7"/>
    <s v="Service Owner - Expert - manager follow this link "/>
    <s v="Not Applicable"/>
    <m/>
    <d v="2022-07-26T00:00:00"/>
    <s v="Initial baseline"/>
    <d v="2022-04-01T00:00:00"/>
    <n v="3"/>
    <n v="0.1"/>
    <s v="IMS"/>
    <m/>
    <x v="0"/>
  </r>
  <r>
    <x v="159"/>
    <x v="1"/>
    <s v="On_Prem"/>
    <s v="MFT--CFT"/>
    <x v="38"/>
    <x v="0"/>
    <x v="132"/>
    <n v="0"/>
    <s v="Not Applicable"/>
    <s v="Not Applicable"/>
    <s v="Not Applicable"/>
    <s v="Per set-up"/>
    <n v="21.75"/>
    <s v="IMS"/>
    <s v="IMS"/>
    <n v="7"/>
    <s v="Service Owner - Expert - manager follow this link "/>
    <s v="Not Applicable"/>
    <m/>
    <d v="2022-07-26T00:00:00"/>
    <s v="Initial baseline"/>
    <d v="2022-04-01T00:00:00"/>
    <n v="3"/>
    <n v="0.1"/>
    <s v="IMS"/>
    <m/>
    <x v="0"/>
  </r>
  <r>
    <x v="160"/>
    <x v="1"/>
    <s v="On_Prem"/>
    <s v="MFT--CFT"/>
    <x v="38"/>
    <x v="11"/>
    <x v="133"/>
    <n v="0"/>
    <s v="Not Applicable"/>
    <s v="Not Applicable"/>
    <s v="Not Applicable"/>
    <s v="Per Server"/>
    <n v="21.75"/>
    <s v="IMS"/>
    <s v="IMS"/>
    <n v="7"/>
    <s v="Service Owner - Expert - manager follow this link "/>
    <s v="Not Applicable"/>
    <m/>
    <d v="2022-07-26T00:00:00"/>
    <s v="Initial baseline"/>
    <d v="2022-04-01T00:00:00"/>
    <n v="3"/>
    <n v="0.1"/>
    <s v="IMS"/>
    <m/>
    <x v="0"/>
  </r>
  <r>
    <x v="161"/>
    <x v="1"/>
    <s v="On_Prem"/>
    <s v="MFT--CFT"/>
    <x v="50"/>
    <x v="0"/>
    <x v="132"/>
    <n v="0"/>
    <s v="Not Applicable"/>
    <s v="Not Applicable"/>
    <s v="Not Applicable"/>
    <s v="Per set-up"/>
    <n v="21.75"/>
    <s v="IMS"/>
    <s v="IMS"/>
    <n v="7"/>
    <s v="Service Owner - Expert - manager follow this link "/>
    <s v="Not Applicable"/>
    <m/>
    <d v="2022-07-26T00:00:00"/>
    <s v="Initial baseline"/>
    <d v="2022-04-01T00:00:00"/>
    <n v="3"/>
    <n v="0.1"/>
    <s v="IMS"/>
    <m/>
    <x v="0"/>
  </r>
  <r>
    <x v="162"/>
    <x v="1"/>
    <s v="On_Prem"/>
    <s v="Scheduling"/>
    <x v="47"/>
    <x v="11"/>
    <x v="134"/>
    <n v="0"/>
    <s v="Control-M Operations"/>
    <s v="https://sanofiservices.service-now.com/onesupport?id=sc_cat_item_guide&amp;table=sc_cat_item&amp;sys_id=f4d1048c1b40805817d3fddacd4bcba7"/>
    <s v="Not Applicable"/>
    <s v="Not Applicable"/>
    <n v="21.75"/>
    <s v="IMS"/>
    <s v="IMS"/>
    <n v="2"/>
    <s v="Service Owner - Expert - manager follow this link "/>
    <s v="Not Applicable"/>
    <m/>
    <d v="2022-07-26T00:00:00"/>
    <s v="Initial baseline"/>
    <d v="2022-04-01T00:00:00"/>
    <n v="3"/>
    <n v="0.1"/>
    <s v="IMS"/>
    <m/>
    <x v="0"/>
  </r>
  <r>
    <x v="163"/>
    <x v="0"/>
    <s v="Global"/>
    <s v="Windows"/>
    <x v="30"/>
    <x v="13"/>
    <x v="135"/>
    <n v="0"/>
    <s v="Not Applicable"/>
    <s v="Not Applicable"/>
    <s v="Not Applicable"/>
    <s v="Per CI"/>
    <n v="21.75"/>
    <s v="IMS"/>
    <s v="IMS"/>
    <s v="To Define Q2 2025"/>
    <s v="Service Owner - Expert - manager follow this link "/>
    <s v="Not Applicable"/>
    <m/>
    <d v="2022-07-26T00:00:00"/>
    <s v="Initial baseline"/>
    <d v="2022-04-01T00:00:00"/>
    <n v="3"/>
    <n v="0.1"/>
    <s v="IMS"/>
    <m/>
    <x v="0"/>
  </r>
  <r>
    <x v="164"/>
    <x v="0"/>
    <s v="Public_Cloud"/>
    <s v="DB--Cloud"/>
    <x v="51"/>
    <x v="7"/>
    <x v="20"/>
    <s v="L3 Implementation activity : _x000a_Prerequisite check_x000a_IQ – verification &amp; approvalr_x000a_L3 Coordination Activity:_x000a_Application Validation"/>
    <s v="Cloud Database Operations"/>
    <s v="https://sanofiservices.service-now.com/onesupport?id=sc_cat_item_guide&amp;table=sc_cat_item&amp;sys_id=6c7102ccdb8c2850c0dcedc40596190b"/>
    <s v="ITS-CHMOD0005367"/>
    <s v="Per Instance"/>
    <n v="21.75"/>
    <n v="2.7"/>
    <n v="58.725000000000001"/>
    <n v="10"/>
    <s v="Service Owner - Expert - manager follow this link "/>
    <s v="Not Applicable"/>
    <m/>
    <d v="2022-07-26T00:00:00"/>
    <s v="Initial baseline"/>
    <d v="2022-04-01T00:00:00"/>
    <n v="3"/>
    <n v="0.1"/>
    <n v="52.852499999999999"/>
    <m/>
    <x v="1"/>
  </r>
  <r>
    <x v="165"/>
    <x v="1"/>
    <s v="On_Prem"/>
    <s v="STORAGE"/>
    <x v="5"/>
    <x v="0"/>
    <x v="136"/>
    <s v="L3 coordination:_x000a_Coordination with ITS, Vendor_x000a_L3 Implementation Activities:_x000a_Create aggregate_x000a_Create volumes "/>
    <s v="Not Applicable"/>
    <s v="Not Applicable"/>
    <s v="Not Applicable"/>
    <s v="Not Applicable"/>
    <n v="21.75"/>
    <s v="IMS"/>
    <s v="IMS"/>
    <n v="4"/>
    <s v="Service Owner - Expert - manager follow this link "/>
    <s v="Not Applicable"/>
    <m/>
    <d v="2023-04-05T00:00:00"/>
    <s v="V0.3"/>
    <d v="2023-04-05T00:00:00"/>
    <n v="2"/>
    <n v="0.1"/>
    <s v="IMS"/>
    <m/>
    <x v="0"/>
  </r>
  <r>
    <x v="166"/>
    <x v="1"/>
    <s v="On_Prem"/>
    <s v="Unix "/>
    <x v="52"/>
    <x v="11"/>
    <x v="137"/>
    <n v="0"/>
    <s v="Not Applicable"/>
    <s v="Not Applicable"/>
    <s v="Not Applicable"/>
    <s v="Not Applicable"/>
    <n v="21.75"/>
    <s v="IMS"/>
    <s v="IMS"/>
    <s v="To Define Q2 2025"/>
    <s v="Service Owner - Expert - manager follow this link "/>
    <s v="Not Applicable"/>
    <m/>
    <d v="2022-07-26T00:00:00"/>
    <s v="Initial baseline"/>
    <d v="2022-04-01T00:00:00"/>
    <n v="3"/>
    <n v="0.1"/>
    <s v="IMS"/>
    <m/>
    <x v="0"/>
  </r>
  <r>
    <x v="167"/>
    <x v="1"/>
    <s v="On_Prem"/>
    <s v="Unix "/>
    <x v="53"/>
    <x v="11"/>
    <x v="138"/>
    <n v="0"/>
    <s v="Not Applicable"/>
    <s v="Not Applicable"/>
    <s v="Not Applicable"/>
    <s v="Not Applicable"/>
    <n v="21.75"/>
    <s v="IMS"/>
    <s v="IMS"/>
    <s v="To Define Q2 2025"/>
    <s v="Service Owner - Expert - manager follow this link "/>
    <s v="Not Applicable"/>
    <m/>
    <d v="2022-07-26T00:00:00"/>
    <s v="Initial baseline"/>
    <d v="2022-04-01T00:00:00"/>
    <n v="3"/>
    <n v="0.1"/>
    <s v="IMS"/>
    <m/>
    <x v="0"/>
  </r>
  <r>
    <x v="168"/>
    <x v="1"/>
    <s v="On_Prem"/>
    <s v="MFT--CFT"/>
    <x v="38"/>
    <x v="0"/>
    <x v="139"/>
    <n v="0"/>
    <s v="Not Applicable"/>
    <s v="Not Applicable"/>
    <s v="Not Applicable"/>
    <s v="Per set-up"/>
    <n v="21.75"/>
    <s v="IMS"/>
    <s v="IMS"/>
    <n v="7"/>
    <s v="Service Owner - Expert - manager follow this link "/>
    <s v="Not Applicable"/>
    <m/>
    <d v="2022-07-26T00:00:00"/>
    <s v="Initial baseline"/>
    <d v="2022-04-01T00:00:00"/>
    <n v="3"/>
    <n v="0.1"/>
    <s v="IMS"/>
    <m/>
    <x v="0"/>
  </r>
  <r>
    <x v="169"/>
    <x v="1"/>
    <s v="On_Prem"/>
    <s v="STORAGE"/>
    <x v="5"/>
    <x v="0"/>
    <x v="140"/>
    <s v="L3 coordination:_x000a_Coordination with Proximity and Vendor_x000a_Update cabling matrix_x000a_create Soft zoning"/>
    <s v="Not Applicable"/>
    <s v="Not Applicable"/>
    <s v="Not Applicable"/>
    <s v="Not Applicable"/>
    <n v="21.75"/>
    <s v="IMS"/>
    <s v="IMS"/>
    <n v="4"/>
    <s v="Service Owner - Expert - manager follow this link "/>
    <s v="Not Applicable"/>
    <m/>
    <d v="2023-04-05T00:00:00"/>
    <s v="V0.3"/>
    <d v="2023-04-05T00:00:00"/>
    <n v="2"/>
    <n v="0.1"/>
    <s v="IMS"/>
    <m/>
    <x v="0"/>
  </r>
  <r>
    <x v="170"/>
    <x v="0"/>
    <s v="On_Prem"/>
    <s v="Windows"/>
    <x v="31"/>
    <x v="0"/>
    <x v="141"/>
    <n v="0"/>
    <s v="Virtual Server CPU / RAM modification"/>
    <s v="https://sanofiservices.service-now.com/onesupport?id=sc_cat_item&amp;table=sc_cat_item&amp;sys_id=f72e27f84f708f00cb48c0428110c70e"/>
    <s v="ITS-CHMOD0000403"/>
    <s v="Per VM"/>
    <n v="21.75"/>
    <s v="IMS"/>
    <s v="IMS"/>
    <n v="5"/>
    <s v="Service Owner - Expert - manager follow this link "/>
    <s v="Not Applicable"/>
    <m/>
    <d v="2022-07-26T00:00:00"/>
    <s v="Initial baseline"/>
    <d v="2022-04-01T00:00:00"/>
    <n v="3"/>
    <n v="0.1"/>
    <s v="IMS"/>
    <m/>
    <x v="0"/>
  </r>
  <r>
    <x v="171"/>
    <x v="0"/>
    <s v="Public_Cloud"/>
    <s v="Windows"/>
    <x v="54"/>
    <x v="0"/>
    <x v="141"/>
    <n v="0"/>
    <s v="Virtual Server CPU / RAM modification"/>
    <s v="https://sanofiservices.service-now.com/onesupport?id=sc_cat_item&amp;table=sc_cat_item&amp;sys_id=f72e27f84f708f00cb48c0428110c70e"/>
    <s v="ITS-CHMOD0000403"/>
    <s v="Per VM"/>
    <n v="21.75"/>
    <s v="IMS"/>
    <s v="IMS"/>
    <n v="5"/>
    <s v="Service Owner - Expert - manager follow this link "/>
    <s v="Not Applicable"/>
    <m/>
    <d v="2022-07-26T00:00:00"/>
    <s v="Initial baseline"/>
    <d v="2022-04-01T00:00:00"/>
    <n v="3"/>
    <n v="0.1"/>
    <s v="IMS"/>
    <m/>
    <x v="0"/>
  </r>
  <r>
    <x v="172"/>
    <x v="0"/>
    <s v="Public_Cloud"/>
    <s v="Windows"/>
    <x v="55"/>
    <x v="0"/>
    <x v="141"/>
    <n v="0"/>
    <s v="Virtual Server CPU / RAM modification"/>
    <s v="https://sanofiservices.service-now.com/onesupport?id=sc_cat_item&amp;table=sc_cat_item&amp;sys_id=f72e27f84f708f00cb48c0428110c70e"/>
    <s v="ITS-CHMOD0000403"/>
    <s v="Per VM"/>
    <n v="21.75"/>
    <s v="IMS"/>
    <s v="IMS"/>
    <n v="5"/>
    <s v="Service Owner - Expert - manager follow this link "/>
    <s v="Not Applicable"/>
    <m/>
    <d v="2022-07-26T00:00:00"/>
    <s v="Initial baseline"/>
    <d v="2022-04-01T00:00:00"/>
    <n v="3"/>
    <n v="0.1"/>
    <s v="IMS"/>
    <m/>
    <x v="0"/>
  </r>
  <r>
    <x v="173"/>
    <x v="0"/>
    <s v="On_Prem"/>
    <s v="Unix "/>
    <x v="42"/>
    <x v="0"/>
    <x v="141"/>
    <n v="0"/>
    <s v="Virtual Server CPU / RAM modification"/>
    <s v="https://sanofiservices.service-now.com/onesupport?id=sc_cat_item&amp;table=sc_cat_item&amp;sys_id=f72e27f84f708f00cb48c0428110c70e"/>
    <s v="ITS-CHMOD0000388"/>
    <s v="Per VM"/>
    <n v="21.75"/>
    <s v="IMS"/>
    <s v="IMS"/>
    <n v="5"/>
    <s v="Service Owner - Expert - manager follow this link "/>
    <s v="Not Applicable"/>
    <m/>
    <d v="2022-07-26T00:00:00"/>
    <s v="Initial baseline"/>
    <d v="2022-04-01T00:00:00"/>
    <n v="3"/>
    <n v="0.1"/>
    <s v="IMS"/>
    <m/>
    <x v="0"/>
  </r>
  <r>
    <x v="174"/>
    <x v="0"/>
    <s v="Public_Cloud"/>
    <s v="Unix "/>
    <x v="56"/>
    <x v="0"/>
    <x v="141"/>
    <n v="0"/>
    <s v="Virtual Server CPU / RAM modification"/>
    <s v="https://sanofiservices.service-now.com/onesupport?id=sc_cat_item&amp;table=sc_cat_item&amp;sys_id=f72e27f84f708f00cb48c0428110c70e"/>
    <s v="ITS-CHMOD0000388"/>
    <s v="Per VM"/>
    <n v="21.75"/>
    <s v="IMS"/>
    <s v="IMS"/>
    <n v="5"/>
    <s v="Service Owner - Expert - manager follow this link "/>
    <s v="Not Applicable"/>
    <m/>
    <d v="2022-07-26T00:00:00"/>
    <s v="Initial baseline"/>
    <d v="2022-04-01T00:00:00"/>
    <n v="3"/>
    <n v="0.1"/>
    <s v="IMS"/>
    <m/>
    <x v="0"/>
  </r>
  <r>
    <x v="175"/>
    <x v="0"/>
    <s v="Public_Cloud"/>
    <s v="Unix "/>
    <x v="57"/>
    <x v="0"/>
    <x v="141"/>
    <n v="0"/>
    <s v="Virtual Server CPU / RAM modification"/>
    <s v="https://sanofiservices.service-now.com/onesupport?id=sc_cat_item&amp;table=sc_cat_item&amp;sys_id=f72e27f84f708f00cb48c0428110c70e"/>
    <s v="ITS-CHMOD0000388"/>
    <s v="Per VM"/>
    <n v="21.75"/>
    <s v="IMS"/>
    <s v="IMS"/>
    <n v="5"/>
    <s v="Service Owner - Expert - manager follow this link "/>
    <s v="Not Applicable"/>
    <m/>
    <d v="2022-07-26T00:00:00"/>
    <s v="Initial baseline"/>
    <d v="2022-04-01T00:00:00"/>
    <n v="3"/>
    <n v="0.1"/>
    <s v="IMS"/>
    <m/>
    <x v="0"/>
  </r>
  <r>
    <x v="176"/>
    <x v="0"/>
    <s v="On_Prem"/>
    <s v="Windows"/>
    <x v="31"/>
    <x v="0"/>
    <x v="142"/>
    <n v="0"/>
    <s v="Decommission a Virtual Server (Virtual Server Operations)"/>
    <s v="https://sanofiservices.service-now.com/onesupport?id=sc_cat_item_guide&amp;table=sc_cat_item&amp;sys_id=f7d5d381dbc9430405ea766eaf9619f7"/>
    <s v="ITS-CHMOD0000400"/>
    <s v="Per VM"/>
    <n v="21.75"/>
    <s v="IMS"/>
    <s v="IMS"/>
    <n v="3"/>
    <s v="Service Owner - Expert - manager follow this link "/>
    <s v="Not Applicable"/>
    <m/>
    <d v="2022-07-26T00:00:00"/>
    <s v="Initial baseline"/>
    <d v="2022-04-01T00:00:00"/>
    <n v="3"/>
    <n v="0.1"/>
    <s v="IMS"/>
    <m/>
    <x v="0"/>
  </r>
  <r>
    <x v="177"/>
    <x v="0"/>
    <s v="Public_Cloud"/>
    <s v="Windows"/>
    <x v="54"/>
    <x v="0"/>
    <x v="142"/>
    <n v="0"/>
    <s v="Decommission a Virtual Server (Virtual Server Operations)"/>
    <s v="https://sanofiservices.service-now.com/onesupport?id=sc_cat_item_guide&amp;table=sc_cat_item&amp;sys_id=f7d5d381dbc9430405ea766eaf9619f7"/>
    <s v="ITS-CHMOD0000400"/>
    <s v="Per VM"/>
    <n v="21.75"/>
    <s v="IMS"/>
    <s v="IMS"/>
    <n v="3"/>
    <s v="Service Owner - Expert - manager follow this link "/>
    <s v="Not Applicable"/>
    <m/>
    <d v="2022-07-26T00:00:00"/>
    <s v="Initial baseline"/>
    <d v="2022-04-01T00:00:00"/>
    <n v="3"/>
    <n v="0.1"/>
    <s v="IMS"/>
    <m/>
    <x v="0"/>
  </r>
  <r>
    <x v="178"/>
    <x v="0"/>
    <s v="Public_Cloud"/>
    <s v="Windows"/>
    <x v="55"/>
    <x v="0"/>
    <x v="142"/>
    <n v="0"/>
    <s v="Decommission a Virtual Server (Virtual Server Operations)"/>
    <s v="https://sanofiservices.service-now.com/onesupport?id=sc_cat_item_guide&amp;table=sc_cat_item&amp;sys_id=f7d5d381dbc9430405ea766eaf9619f7"/>
    <s v="ITS-CHMOD0000400"/>
    <s v="Per VM"/>
    <n v="21.75"/>
    <s v="IMS"/>
    <s v="IMS"/>
    <n v="3"/>
    <s v="Service Owner - Expert - manager follow this link "/>
    <s v="Not Applicable"/>
    <m/>
    <d v="2022-07-26T00:00:00"/>
    <s v="Initial baseline"/>
    <d v="2022-04-01T00:00:00"/>
    <n v="3"/>
    <n v="0.1"/>
    <s v="IMS"/>
    <m/>
    <x v="0"/>
  </r>
  <r>
    <x v="179"/>
    <x v="0"/>
    <s v="On_Prem"/>
    <s v="Unix "/>
    <x v="42"/>
    <x v="0"/>
    <x v="142"/>
    <n v="0"/>
    <s v="Decommission a Virtual Server (Virtual Server Operations)"/>
    <s v="https://sanofiservices.service-now.com/onesupport?id=sc_cat_item_guide&amp;table=sc_cat_item&amp;sys_id=f7d5d381dbc9430405ea766eaf9619f7"/>
    <s v="ITS-CHMOD0000385"/>
    <s v="Per VM"/>
    <n v="21.75"/>
    <s v="IMS"/>
    <s v="IMS"/>
    <n v="3"/>
    <s v="Service Owner - Expert - manager follow this link "/>
    <s v="Not Applicable"/>
    <m/>
    <d v="2022-07-26T00:00:00"/>
    <s v="Initial baseline"/>
    <d v="2022-04-01T00:00:00"/>
    <n v="3"/>
    <n v="0.1"/>
    <s v="IMS"/>
    <m/>
    <x v="0"/>
  </r>
  <r>
    <x v="180"/>
    <x v="0"/>
    <s v="Public_Cloud"/>
    <s v="Unix "/>
    <x v="56"/>
    <x v="0"/>
    <x v="142"/>
    <n v="0"/>
    <s v="Decommission a Virtual Server (Virtual Server Operations)"/>
    <s v="https://sanofiservices.service-now.com/onesupport?id=sc_cat_item_guide&amp;table=sc_cat_item&amp;sys_id=f7d5d381dbc9430405ea766eaf9619f7"/>
    <s v="ITS-CHMOD0000385"/>
    <s v="Per VM"/>
    <n v="21.75"/>
    <s v="IMS"/>
    <s v="IMS"/>
    <n v="3"/>
    <s v="Service Owner - Expert - manager follow this link "/>
    <s v="Not Applicable"/>
    <m/>
    <d v="2022-07-26T00:00:00"/>
    <s v="Initial baseline"/>
    <d v="2022-04-01T00:00:00"/>
    <n v="3"/>
    <n v="0.1"/>
    <s v="IMS"/>
    <m/>
    <x v="0"/>
  </r>
  <r>
    <x v="181"/>
    <x v="0"/>
    <s v="Public_Cloud"/>
    <s v="Unix "/>
    <x v="57"/>
    <x v="0"/>
    <x v="142"/>
    <n v="0"/>
    <s v="Decommission a Virtual Server (Virtual Server Operations)"/>
    <s v="https://sanofiservices.service-now.com/onesupport?id=sc_cat_item_guide&amp;table=sc_cat_item&amp;sys_id=f7d5d381dbc9430405ea766eaf9619f7"/>
    <s v="ITS-CHMOD0000385"/>
    <s v="Per VM"/>
    <n v="21.75"/>
    <s v="IMS"/>
    <s v="IMS"/>
    <n v="3"/>
    <s v="Service Owner - Expert - manager follow this link "/>
    <s v="Not Applicable"/>
    <m/>
    <d v="2022-07-26T00:00:00"/>
    <s v="Initial baseline"/>
    <d v="2022-04-01T00:00:00"/>
    <n v="3"/>
    <n v="0.1"/>
    <s v="IMS"/>
    <m/>
    <x v="0"/>
  </r>
  <r>
    <x v="182"/>
    <x v="0"/>
    <s v="On_Prem"/>
    <s v="Windows"/>
    <x v="31"/>
    <x v="0"/>
    <x v="143"/>
    <n v="0"/>
    <s v="Decommission a Virtual Server (Virtual Server Operations)"/>
    <s v="https://sanofiservices.service-now.com/onesupport?id=sc_cat_item_guide&amp;table=sc_cat_item&amp;sys_id=f7d5d381dbc9430405ea766eaf9619f7"/>
    <s v="ITS-CHMOD0000401"/>
    <s v="Per VM"/>
    <n v="21.75"/>
    <s v="IMS"/>
    <s v="IMS"/>
    <n v="3"/>
    <s v="Service Owner - Expert - manager follow this link "/>
    <s v="Not Applicable"/>
    <m/>
    <d v="2022-07-26T00:00:00"/>
    <s v="Initial baseline"/>
    <d v="2022-04-01T00:00:00"/>
    <n v="3"/>
    <n v="0.1"/>
    <s v="IMS"/>
    <m/>
    <x v="0"/>
  </r>
  <r>
    <x v="183"/>
    <x v="0"/>
    <s v="Public_Cloud"/>
    <s v="Windows"/>
    <x v="54"/>
    <x v="0"/>
    <x v="143"/>
    <n v="0"/>
    <s v="Decommission a Virtual Server (Virtual Server Operations)"/>
    <s v="https://sanofiservices.service-now.com/onesupport?id=sc_cat_item_guide&amp;table=sc_cat_item&amp;sys_id=f7d5d381dbc9430405ea766eaf9619f7"/>
    <s v="ITS-CHMOD0000401"/>
    <s v="Per VM"/>
    <n v="21.75"/>
    <s v="IMS"/>
    <s v="IMS"/>
    <n v="3"/>
    <s v="Service Owner - Expert - manager follow this link "/>
    <s v="Not Applicable"/>
    <m/>
    <d v="2022-07-26T00:00:00"/>
    <s v="Initial baseline"/>
    <d v="2022-04-01T00:00:00"/>
    <n v="3"/>
    <n v="0.1"/>
    <s v="IMS"/>
    <m/>
    <x v="0"/>
  </r>
  <r>
    <x v="184"/>
    <x v="0"/>
    <s v="Public_Cloud"/>
    <s v="Windows"/>
    <x v="55"/>
    <x v="0"/>
    <x v="143"/>
    <n v="0"/>
    <s v="Decommission a Virtual Server (Virtual Server Operations)"/>
    <s v="https://sanofiservices.service-now.com/onesupport?id=sc_cat_item_guide&amp;table=sc_cat_item&amp;sys_id=f7d5d381dbc9430405ea766eaf9619f7"/>
    <s v="ITS-CHMOD0000401"/>
    <s v="Per VM"/>
    <n v="21.75"/>
    <s v="IMS"/>
    <s v="IMS"/>
    <n v="3"/>
    <s v="Service Owner - Expert - manager follow this link "/>
    <s v="Not Applicable"/>
    <m/>
    <d v="2022-07-26T00:00:00"/>
    <s v="Initial baseline"/>
    <d v="2022-04-01T00:00:00"/>
    <n v="3"/>
    <n v="0.1"/>
    <s v="IMS"/>
    <m/>
    <x v="0"/>
  </r>
  <r>
    <x v="185"/>
    <x v="0"/>
    <s v="On_Prem"/>
    <s v="Unix "/>
    <x v="42"/>
    <x v="0"/>
    <x v="143"/>
    <n v="0"/>
    <s v="Decommission a Virtual Server (Virtual Server Operations)"/>
    <s v="https://sanofiservices.service-now.com/onesupport?id=sc_cat_item_guide&amp;table=sc_cat_item&amp;sys_id=f7d5d381dbc9430405ea766eaf9619f7"/>
    <s v="ITS-CHMOD0000386"/>
    <s v="Per VM"/>
    <n v="21.75"/>
    <s v="IMS"/>
    <s v="IMS"/>
    <n v="3"/>
    <s v="Service Owner - Expert - manager follow this link "/>
    <s v="Not Applicable"/>
    <m/>
    <d v="2022-07-26T00:00:00"/>
    <s v="Initial baseline"/>
    <d v="2022-04-01T00:00:00"/>
    <n v="3"/>
    <n v="0.1"/>
    <s v="IMS"/>
    <m/>
    <x v="0"/>
  </r>
  <r>
    <x v="186"/>
    <x v="0"/>
    <s v="Public_Cloud"/>
    <s v="Unix "/>
    <x v="56"/>
    <x v="0"/>
    <x v="143"/>
    <n v="0"/>
    <s v="Decommission a Virtual Server (Virtual Server Operations)"/>
    <s v="https://sanofiservices.service-now.com/onesupport?id=sc_cat_item_guide&amp;table=sc_cat_item&amp;sys_id=f7d5d381dbc9430405ea766eaf9619f7"/>
    <s v="ITS-CHMOD0000386"/>
    <s v="Per VM"/>
    <n v="21.75"/>
    <s v="IMS"/>
    <s v="IMS"/>
    <n v="3"/>
    <s v="Service Owner - Expert - manager follow this link "/>
    <s v="Not Applicable"/>
    <m/>
    <d v="2022-07-26T00:00:00"/>
    <s v="Initial baseline"/>
    <d v="2022-04-01T00:00:00"/>
    <n v="3"/>
    <n v="0.1"/>
    <s v="IMS"/>
    <m/>
    <x v="0"/>
  </r>
  <r>
    <x v="187"/>
    <x v="0"/>
    <s v="Public_Cloud"/>
    <s v="Unix "/>
    <x v="57"/>
    <x v="0"/>
    <x v="143"/>
    <n v="0"/>
    <s v="Decommission a Virtual Server (Virtual Server Operations)"/>
    <s v="https://sanofiservices.service-now.com/onesupport?id=sc_cat_item_guide&amp;table=sc_cat_item&amp;sys_id=f7d5d381dbc9430405ea766eaf9619f7"/>
    <s v="ITS-CHMOD0000386"/>
    <s v="Per VM"/>
    <n v="21.75"/>
    <s v="IMS"/>
    <s v="IMS"/>
    <n v="3"/>
    <s v="Service Owner - Expert - manager follow this link "/>
    <s v="Not Applicable"/>
    <m/>
    <d v="2022-07-26T00:00:00"/>
    <s v="Initial baseline"/>
    <d v="2022-04-01T00:00:00"/>
    <n v="3"/>
    <n v="0.1"/>
    <s v="IMS"/>
    <m/>
    <x v="0"/>
  </r>
  <r>
    <x v="188"/>
    <x v="0"/>
    <s v="On_Prem"/>
    <s v="Windows"/>
    <x v="31"/>
    <x v="0"/>
    <x v="144"/>
    <n v="0"/>
    <s v="Create or modify disk"/>
    <s v="https://sanofiservices.service-now.com/onesupport?id=sc_cat_item&amp;table=sc_cat_item&amp;sys_id=195eb7f21bc9a010d849206e3b4bcb1f"/>
    <s v="ITS-CHMOD0001314"/>
    <s v="Per VM"/>
    <n v="21.75"/>
    <s v="IMS"/>
    <s v="IMS"/>
    <n v="3"/>
    <s v="Service Owner - Expert - manager follow this link "/>
    <s v="Not Applicable"/>
    <m/>
    <d v="2022-07-26T00:00:00"/>
    <s v="Initial baseline"/>
    <d v="2022-04-01T00:00:00"/>
    <n v="3"/>
    <n v="0.1"/>
    <s v="IMS"/>
    <m/>
    <x v="0"/>
  </r>
  <r>
    <x v="189"/>
    <x v="0"/>
    <s v="On_Prem"/>
    <s v="Unix "/>
    <x v="42"/>
    <x v="0"/>
    <x v="145"/>
    <n v="0"/>
    <s v="UNIX Virtual Server - FS creation or modification"/>
    <s v="https://sanofiservices.service-now.com/onesupport?id=sc_cat_item&amp;table=sc_cat_item&amp;sys_id=3dd42702dbfa57400a8ffd471d9619a7"/>
    <s v="ITS-CHMOD0001232"/>
    <s v="Per VM"/>
    <n v="21.75"/>
    <s v="IMS"/>
    <s v="IMS"/>
    <n v="3"/>
    <s v="Service Owner - Expert - manager follow this link "/>
    <s v="Not Applicable"/>
    <m/>
    <d v="2022-07-26T00:00:00"/>
    <s v="Initial baseline"/>
    <d v="2022-04-01T00:00:00"/>
    <n v="3"/>
    <n v="0.1"/>
    <s v="IMS"/>
    <m/>
    <x v="0"/>
  </r>
  <r>
    <x v="190"/>
    <x v="0"/>
    <s v="On_Prem"/>
    <s v="Unix "/>
    <x v="7"/>
    <x v="0"/>
    <x v="145"/>
    <n v="0"/>
    <s v="UNIX Virtual Server - FS creation or modification"/>
    <s v="https://sanofiservices.service-now.com/onesupport?id=sc_cat_item&amp;table=sc_cat_item&amp;sys_id=3dd42702dbfa57400a8ffd471d9619a7"/>
    <s v="ITS-CHMOD0001276"/>
    <s v="Per VM"/>
    <n v="21.75"/>
    <s v="IMS"/>
    <s v="IMS"/>
    <n v="3"/>
    <s v="Service Owner - Expert - manager follow this link "/>
    <s v="Not Applicable"/>
    <m/>
    <d v="2022-07-26T00:00:00"/>
    <s v="Initial baseline"/>
    <d v="2022-04-01T00:00:00"/>
    <n v="3"/>
    <n v="0.1"/>
    <s v="IMS"/>
    <m/>
    <x v="0"/>
  </r>
  <r>
    <x v="191"/>
    <x v="0"/>
    <s v="On_Prem"/>
    <s v="Windows"/>
    <x v="31"/>
    <x v="5"/>
    <x v="146"/>
    <n v="0"/>
    <s v="Not Applicable"/>
    <s v="Not Applicable"/>
    <s v="ITS-CHMOD0004376"/>
    <s v="per CI"/>
    <n v="21.75"/>
    <s v="IMS"/>
    <s v="IMS"/>
    <s v="To Define Q2 2025"/>
    <s v="Service Owner - Expert - manager follow this link "/>
    <s v="Not Applicable"/>
    <m/>
    <d v="2022-07-26T00:00:00"/>
    <s v="Initial baseline"/>
    <d v="2022-04-01T00:00:00"/>
    <n v="3"/>
    <n v="0.1"/>
    <s v="IMS"/>
    <m/>
    <x v="0"/>
  </r>
  <r>
    <x v="192"/>
    <x v="1"/>
    <s v="On_Prem"/>
    <s v="Citrix"/>
    <x v="9"/>
    <x v="7"/>
    <x v="147"/>
    <s v="List of activites:_x000b_1. Installation of Delivery controller._x000b_2. Configuration of Citrix DB_x000b_3. Registry modification and optimization_x000b_4. Customization"/>
    <s v="Not Applicable"/>
    <s v="Not Applicable"/>
    <s v="Not Applicable"/>
    <s v="per server"/>
    <n v="21.75"/>
    <n v="14"/>
    <n v="0"/>
    <n v="5"/>
    <s v="Service Owner - Expert - manager follow this link "/>
    <n v="0.25"/>
    <m/>
    <d v="2025-03-12T00:00:00"/>
    <s v="V2.1"/>
    <d v="2022-04-01T00:00:00"/>
    <n v="3"/>
    <n v="0.1"/>
    <n v="0"/>
    <n v="0"/>
    <x v="1"/>
  </r>
  <r>
    <x v="193"/>
    <x v="0"/>
    <s v="On_Prem"/>
    <s v="Unix "/>
    <x v="42"/>
    <x v="5"/>
    <x v="146"/>
    <n v="0"/>
    <s v="Not Applicable"/>
    <s v="Not Applicable"/>
    <s v="ITS-CHMOD0004729"/>
    <s v="Per VM"/>
    <n v="21.75"/>
    <s v="IMS"/>
    <s v="IMS"/>
    <s v="To Define Q2 2025"/>
    <s v="Service Owner - Expert - manager follow this link "/>
    <s v="Not Applicable"/>
    <m/>
    <d v="2022-07-26T00:00:00"/>
    <s v="Initial baseline"/>
    <d v="2022-04-01T00:00:00"/>
    <n v="3"/>
    <n v="0.1"/>
    <s v="IMS"/>
    <m/>
    <x v="0"/>
  </r>
  <r>
    <x v="194"/>
    <x v="0"/>
    <s v="On_Prem"/>
    <s v="Unix "/>
    <x v="7"/>
    <x v="5"/>
    <x v="146"/>
    <n v="0"/>
    <s v="Not Applicable"/>
    <s v="Not Applicable"/>
    <s v="ITS-CHMOD0004721"/>
    <s v="Per VM"/>
    <n v="21.75"/>
    <s v="IMS"/>
    <s v="IMS"/>
    <s v="To Define Q2 2025"/>
    <s v="Service Owner - Expert - manager follow this link "/>
    <s v="Not Applicable"/>
    <m/>
    <d v="2022-07-26T00:00:00"/>
    <s v="Initial baseline"/>
    <d v="2022-04-01T00:00:00"/>
    <n v="3"/>
    <n v="0.1"/>
    <s v="IMS"/>
    <m/>
    <x v="0"/>
  </r>
  <r>
    <x v="195"/>
    <x v="0"/>
    <s v="On_Prem"/>
    <s v="Windows"/>
    <x v="31"/>
    <x v="5"/>
    <x v="148"/>
    <n v="0"/>
    <s v="Decommission a Virtual Server (Virtual Server Operations)"/>
    <s v="https://sanofiservices.service-now.com/onesupport?id=sc_cat_item_guide&amp;table=sc_cat_item&amp;sys_id=f7d5d381dbc9430405ea766eaf9619f7"/>
    <s v="ITS-CHMOD0000398"/>
    <s v="per CI"/>
    <n v="21.75"/>
    <s v="IMS"/>
    <s v="IMS"/>
    <n v="7"/>
    <s v="Service Owner - Expert - manager follow this link "/>
    <s v="Not Applicable"/>
    <m/>
    <d v="2022-07-26T00:00:00"/>
    <s v="Initial baseline"/>
    <d v="2022-04-01T00:00:00"/>
    <n v="3"/>
    <n v="0.1"/>
    <s v="IMS"/>
    <m/>
    <x v="0"/>
  </r>
  <r>
    <x v="196"/>
    <x v="0"/>
    <s v="Public_Cloud"/>
    <s v="Windows"/>
    <x v="54"/>
    <x v="5"/>
    <x v="148"/>
    <n v="0"/>
    <s v="Decommission a Virtual Server (Virtual Server Operations)"/>
    <s v="https://sanofiservices.service-now.com/onesupport?id=sc_cat_item_guide&amp;table=sc_cat_item&amp;sys_id=f7d5d381dbc9430405ea766eaf9619f7"/>
    <s v="ITS-CHMOD0004368"/>
    <s v="per CI"/>
    <n v="21.75"/>
    <s v="IMS"/>
    <s v="IMS"/>
    <n v="7"/>
    <s v="Service Owner - Expert - manager follow this link "/>
    <s v="Not Applicable"/>
    <m/>
    <d v="2022-07-26T00:00:00"/>
    <s v="Initial baseline"/>
    <d v="2022-04-01T00:00:00"/>
    <n v="3"/>
    <n v="0.1"/>
    <s v="IMS"/>
    <m/>
    <x v="0"/>
  </r>
  <r>
    <x v="197"/>
    <x v="0"/>
    <s v="Public_Cloud"/>
    <s v="Windows"/>
    <x v="55"/>
    <x v="5"/>
    <x v="148"/>
    <n v="0"/>
    <s v="Decommission a Virtual Server (Virtual Server Operations)"/>
    <s v="https://sanofiservices.service-now.com/onesupport?id=sc_cat_item_guide&amp;table=sc_cat_item&amp;sys_id=f7d5d381dbc9430405ea766eaf9619f7"/>
    <s v="ITS-CHMOD0004368"/>
    <s v="per CI"/>
    <n v="21.75"/>
    <s v="IMS"/>
    <s v="IMS"/>
    <n v="7"/>
    <s v="Service Owner - Expert - manager follow this link "/>
    <s v="Not Applicable"/>
    <m/>
    <d v="2022-07-26T00:00:00"/>
    <s v="Initial baseline"/>
    <d v="2022-04-01T00:00:00"/>
    <n v="3"/>
    <n v="0.1"/>
    <s v="IMS"/>
    <m/>
    <x v="0"/>
  </r>
  <r>
    <x v="198"/>
    <x v="0"/>
    <s v="On_Prem"/>
    <s v="Unix "/>
    <x v="42"/>
    <x v="5"/>
    <x v="148"/>
    <n v="0"/>
    <s v="Decommission a Virtual Server (Virtual Server Operations)"/>
    <s v="https://sanofiservices.service-now.com/onesupport?id=sc_cat_item_guide&amp;table=sc_cat_item&amp;sys_id=f7d5d381dbc9430405ea766eaf9619f7"/>
    <s v="ITS-CHMOD0000382"/>
    <s v="Per Request"/>
    <n v="21.75"/>
    <s v="IMS"/>
    <s v="IMS"/>
    <n v="7"/>
    <s v="Service Owner - Expert - manager follow this link "/>
    <s v="Not Applicable"/>
    <m/>
    <d v="2022-07-26T00:00:00"/>
    <s v="Initial baseline"/>
    <d v="2022-04-01T00:00:00"/>
    <n v="3"/>
    <n v="0.1"/>
    <s v="IMS"/>
    <m/>
    <x v="0"/>
  </r>
  <r>
    <x v="199"/>
    <x v="0"/>
    <s v="Public_Cloud"/>
    <s v="Unix "/>
    <x v="56"/>
    <x v="5"/>
    <x v="148"/>
    <n v="0"/>
    <s v="Decommission a Virtual Server (Virtual Server Operations)"/>
    <s v="https://sanofiservices.service-now.com/onesupport?id=sc_cat_item_guide&amp;table=sc_cat_item&amp;sys_id=f7d5d381dbc9430405ea766eaf9619f7"/>
    <s v="ITS-CHMOD0004369"/>
    <s v="Per Request"/>
    <n v="21.75"/>
    <s v="IMS"/>
    <s v="IMS"/>
    <n v="7"/>
    <s v="Service Owner - Expert - manager follow this link "/>
    <s v="Not Applicable"/>
    <m/>
    <d v="2022-07-26T00:00:00"/>
    <s v="Initial baseline"/>
    <d v="2022-04-01T00:00:00"/>
    <n v="3"/>
    <n v="0.1"/>
    <s v="IMS"/>
    <m/>
    <x v="0"/>
  </r>
  <r>
    <x v="200"/>
    <x v="0"/>
    <s v="Public_Cloud"/>
    <s v="Unix "/>
    <x v="57"/>
    <x v="5"/>
    <x v="148"/>
    <n v="0"/>
    <s v="Decommission a Virtual Server (Virtual Server Operations)"/>
    <s v="https://sanofiservices.service-now.com/onesupport?id=sc_cat_item_guide&amp;table=sc_cat_item&amp;sys_id=f7d5d381dbc9430405ea766eaf9619f7"/>
    <s v="ITS-CHMOD0004369"/>
    <s v="Per Request"/>
    <n v="21.75"/>
    <s v="IMS"/>
    <s v="IMS"/>
    <n v="7"/>
    <s v="Service Owner - Expert - manager follow this link "/>
    <s v="Not Applicable"/>
    <m/>
    <d v="2022-07-26T00:00:00"/>
    <s v="Initial baseline"/>
    <d v="2022-04-01T00:00:00"/>
    <n v="3"/>
    <n v="0.1"/>
    <s v="IMS"/>
    <m/>
    <x v="0"/>
  </r>
  <r>
    <x v="201"/>
    <x v="0"/>
    <s v="On_Prem"/>
    <s v="Windows"/>
    <x v="31"/>
    <x v="0"/>
    <x v="149"/>
    <n v="0"/>
    <s v="Not Applicable"/>
    <s v="Not Applicable"/>
    <s v="ITS-CHMOD0004803"/>
    <s v="Per Request"/>
    <n v="21.75"/>
    <s v="IMS"/>
    <s v="IMS"/>
    <s v="To Define Q2 2025"/>
    <s v="Service Owner - Expert - manager follow this link "/>
    <s v="Not Applicable"/>
    <m/>
    <d v="2022-07-26T00:00:00"/>
    <s v="Initial baseline"/>
    <d v="2022-04-01T00:00:00"/>
    <n v="3"/>
    <n v="0.1"/>
    <s v="IMS"/>
    <m/>
    <x v="0"/>
  </r>
  <r>
    <x v="202"/>
    <x v="0"/>
    <s v="On_Prem"/>
    <s v="Windows"/>
    <x v="30"/>
    <x v="10"/>
    <x v="150"/>
    <n v="0"/>
    <s v="SCCM - Package Deployment (servers only)"/>
    <s v="https://sanofiservices.service-now.com/onesupport?id=sc_cat_item&amp;table=sc_cat_item&amp;sys_id=dc46595edb9dc70005ea766eaf9619f5"/>
    <s v="Not Applicable"/>
    <s v="Per CI"/>
    <n v="21.75"/>
    <s v="IMS"/>
    <s v="IMS"/>
    <n v="2"/>
    <s v="Service Owner - Expert - manager follow this link "/>
    <s v="Not Applicable"/>
    <m/>
    <d v="2022-07-26T00:00:00"/>
    <s v="Initial baseline"/>
    <d v="2022-04-01T00:00:00"/>
    <n v="3"/>
    <n v="0.1"/>
    <s v="IMS"/>
    <m/>
    <x v="0"/>
  </r>
  <r>
    <x v="203"/>
    <x v="0"/>
    <s v="Public_Cloud"/>
    <s v="Windows"/>
    <x v="30"/>
    <x v="10"/>
    <x v="59"/>
    <n v="0"/>
    <s v="SCCM - Package Deployment (servers only)"/>
    <s v="https://sanofiservices.service-now.com/onesupport?id=sc_cat_item&amp;table=sc_cat_item&amp;sys_id=dc46595edb9dc70005ea766eaf9619f5"/>
    <s v="Not Applicable"/>
    <s v="Per CI"/>
    <n v="21.75"/>
    <s v="IMS"/>
    <s v="IMS"/>
    <n v="2"/>
    <s v="Service Owner - Expert - manager follow this link "/>
    <s v="Not Applicable"/>
    <m/>
    <d v="2022-07-26T00:00:00"/>
    <s v="Initial baseline"/>
    <d v="2022-04-01T00:00:00"/>
    <n v="3"/>
    <n v="0.1"/>
    <s v="IMS"/>
    <m/>
    <x v="0"/>
  </r>
  <r>
    <x v="204"/>
    <x v="0"/>
    <s v="Public_Cloud"/>
    <s v="Windows"/>
    <x v="30"/>
    <x v="10"/>
    <x v="150"/>
    <n v="0"/>
    <s v="SCCM - Package Deployment (servers only)"/>
    <s v="https://sanofiservices.service-now.com/onesupport?id=sc_cat_item&amp;table=sc_cat_item&amp;sys_id=dc46595edb9dc70005ea766eaf9619f5"/>
    <s v="Not Applicable"/>
    <s v="Per CI"/>
    <n v="21.75"/>
    <s v="IMS"/>
    <s v="IMS"/>
    <n v="2"/>
    <s v="Service Owner - Expert - manager follow this link "/>
    <s v="Not Applicable"/>
    <m/>
    <d v="2022-07-26T00:00:00"/>
    <s v="Initial baseline"/>
    <d v="2022-04-01T00:00:00"/>
    <n v="3"/>
    <n v="0.1"/>
    <s v="IMS"/>
    <m/>
    <x v="0"/>
  </r>
  <r>
    <x v="205"/>
    <x v="0"/>
    <s v="Global"/>
    <s v="Windows"/>
    <x v="30"/>
    <x v="13"/>
    <x v="60"/>
    <n v="0"/>
    <s v="Not Applicable"/>
    <s v="Not Applicable"/>
    <s v="ITS-CHMOD0001300"/>
    <s v="Per CI"/>
    <n v="21.75"/>
    <s v="IMS"/>
    <s v="IMS"/>
    <s v="To Define Q2 2025"/>
    <s v="Service Owner - Expert - manager follow this link "/>
    <s v="Not Applicable"/>
    <m/>
    <d v="2022-07-26T00:00:00"/>
    <s v="Initial baseline"/>
    <d v="2022-04-01T00:00:00"/>
    <n v="3"/>
    <n v="0.1"/>
    <s v="IMS"/>
    <m/>
    <x v="0"/>
  </r>
  <r>
    <x v="206"/>
    <x v="0"/>
    <s v="On_Prem"/>
    <s v="Scheduling"/>
    <x v="33"/>
    <x v="0"/>
    <x v="151"/>
    <s v="L3 Implementation activity - Measured per job_x000a_1. Verification of the job configuration sheet.  _x000a_2. Verification of module installation,  Agent installation, FTP service activation, FS creation etc. _x000a_3. Creation of new jobs on the environment._x000a_4. Verification of the jobs execution. Coordination with the business / application team after the job scheduling.  Check implementation , Activation of job, Testing of the jobs on the environment by coordinating with application team. "/>
    <s v="Control-M Operations"/>
    <s v="https://sanofiservices.service-now.com/onesupport?id=sc_cat_item_guide&amp;table=sc_cat_item&amp;sys_id=f4d1048c1b40805817d3fddacd4bcba7"/>
    <s v="Not Applicable"/>
    <s v="Not Applicable"/>
    <n v="21.75"/>
    <s v="IMS"/>
    <s v="IMS"/>
    <s v="1-20 jobs =&gt; 5 days_x000a_21-50 jobs =&gt; 10 days_x000a_51-100 jobs =&gt; 15 days_x000a_101-200 jobs =&gt; 20 days_x000a_201-300 jobs =&gt; 30 days_x000a_301-500 jobs =&gt; 35 days"/>
    <s v="Service Owner - Expert - manager follow this link "/>
    <s v="Not Applicable"/>
    <m/>
    <d v="2022-07-26T00:00:00"/>
    <s v="Initial baseline"/>
    <d v="2022-04-01T00:00:00"/>
    <n v="3"/>
    <n v="0.1"/>
    <s v="IMS"/>
    <m/>
    <x v="0"/>
  </r>
  <r>
    <x v="207"/>
    <x v="0"/>
    <s v="On_Prem"/>
    <s v="Scheduling"/>
    <x v="33"/>
    <x v="4"/>
    <x v="152"/>
    <n v="0"/>
    <s v="Control-M Operations"/>
    <s v="https://sanofiservices.service-now.com/onesupport?id=sc_cat_item_guide&amp;table=sc_cat_item&amp;sys_id=f4d1048c1b40805817d3fddacd4bcba7"/>
    <s v="Not Applicable"/>
    <s v="Not Applicable"/>
    <n v="21.75"/>
    <s v="IMS"/>
    <s v="IMS"/>
    <n v="2"/>
    <s v="Service Owner - Expert - manager follow this link "/>
    <s v="Not Applicable"/>
    <m/>
    <d v="2022-07-26T00:00:00"/>
    <s v="Initial baseline"/>
    <d v="2022-04-01T00:00:00"/>
    <n v="3"/>
    <n v="0.1"/>
    <s v="IMS"/>
    <m/>
    <x v="0"/>
  </r>
  <r>
    <x v="208"/>
    <x v="0"/>
    <s v="On_Prem"/>
    <s v="Scheduling"/>
    <x v="33"/>
    <x v="5"/>
    <x v="153"/>
    <n v="0"/>
    <s v="Control-M Operations"/>
    <s v="https://sanofiservices.service-now.com/onesupport?id=sc_cat_item_guide&amp;table=sc_cat_item&amp;sys_id=f4d1048c1b40805817d3fddacd4bcba7"/>
    <s v="Not Applicable"/>
    <s v="Not Applicable"/>
    <n v="21.75"/>
    <s v="IMS"/>
    <s v="IMS"/>
    <s v="1-20 jobs =&gt; 5 days_x000a_21-50 jobs =&gt; 10 days_x000a_51-100 jobs =&gt; 15 days_x000a_101-200 jobs =&gt; 20 days_x000a_201-300 jobs =&gt; 30 days_x000a_301-500 jobs =&gt; 35 days"/>
    <s v="Service Owner - Expert - manager follow this link "/>
    <s v="Not Applicable"/>
    <m/>
    <d v="2022-07-26T00:00:00"/>
    <s v="Initial baseline"/>
    <d v="2022-04-01T00:00:00"/>
    <n v="3"/>
    <n v="0.1"/>
    <s v="IMS"/>
    <m/>
    <x v="0"/>
  </r>
  <r>
    <x v="209"/>
    <x v="0"/>
    <s v="On_Prem"/>
    <s v="Scheduling"/>
    <x v="33"/>
    <x v="11"/>
    <x v="154"/>
    <n v="0"/>
    <s v="Control-M Operations"/>
    <s v="https://sanofiservices.service-now.com/onesupport?id=sc_cat_item_guide&amp;table=sc_cat_item&amp;sys_id=f4d1048c1b40805817d3fddacd4bcba7"/>
    <s v="Not Applicable"/>
    <s v="Not Applicable"/>
    <n v="21.75"/>
    <s v="IMS"/>
    <s v="IMS"/>
    <n v="2"/>
    <s v="Service Owner - Expert - manager follow this link "/>
    <s v="Not Applicable"/>
    <m/>
    <d v="2022-07-26T00:00:00"/>
    <s v="Initial baseline"/>
    <d v="2022-04-01T00:00:00"/>
    <n v="3"/>
    <n v="0.1"/>
    <s v="IMS"/>
    <m/>
    <x v="0"/>
  </r>
  <r>
    <x v="210"/>
    <x v="0"/>
    <s v="On_Prem/ Cloud"/>
    <s v="API"/>
    <x v="0"/>
    <x v="16"/>
    <x v="155"/>
    <s v="for current technology Layer 7 new versions and patches_x000a_1. Taking Back -up of previous version - Files/codes/mysql/gateway_x000a_2. API Gateway/portal creation/renewal/replacement, upload and install_x000a_3. Restarting the server &amp; post installation validation_x000a_4. Validation document IQF creation_x000a_ "/>
    <s v="Not Applicable"/>
    <s v="Not Applicable"/>
    <s v="Not Applicable"/>
    <s v="Not Applicable"/>
    <n v="21.75"/>
    <s v="IMS"/>
    <s v="IMS"/>
    <s v="To Define Q2 2025"/>
    <s v="Service Owner - Expert - manager follow this link "/>
    <s v="Not Applicable"/>
    <m/>
    <d v="2022-07-26T00:00:00"/>
    <s v="Initial baseline"/>
    <d v="2022-04-01T00:00:00"/>
    <n v="3"/>
    <n v="0.1"/>
    <s v="IMS"/>
    <m/>
    <x v="0"/>
  </r>
  <r>
    <x v="211"/>
    <x v="0"/>
    <s v="On_Prem/ Cloud"/>
    <s v="API"/>
    <x v="0"/>
    <x v="17"/>
    <x v="156"/>
    <s v="1. Taking Back -up of previews API Code vershion_x000a_2. Move new API Code according to the API Owner make the request_x000a_3. Test it with API Owner_x000a_4. Close RTM"/>
    <s v="Not Applicable"/>
    <s v="Not Applicable"/>
    <s v="Not Applicable"/>
    <s v="Not Applicable"/>
    <n v="21.75"/>
    <s v="IMS"/>
    <s v="IMS"/>
    <s v="To Define Q2 2025"/>
    <s v="Service Owner - Expert - manager follow this link "/>
    <s v="Not Applicable"/>
    <m/>
    <d v="2022-07-26T00:00:00"/>
    <s v="Initial baseline"/>
    <d v="2022-04-01T00:00:00"/>
    <n v="3"/>
    <n v="0.1"/>
    <s v="IMS"/>
    <m/>
    <x v="0"/>
  </r>
  <r>
    <x v="212"/>
    <x v="0"/>
    <s v="On_Prem/ Cloud"/>
    <s v="API"/>
    <x v="0"/>
    <x v="5"/>
    <x v="157"/>
    <s v="1. Validation of the Identified API Objects for decomm readiness with API Owner_x000a_2. switch Off Monitoring and Configurations to be untagged_x000a_3. Shut down API components"/>
    <s v="Not Applicable"/>
    <s v="Not Applicable"/>
    <s v="Not Applicable"/>
    <s v="Not Applicable"/>
    <n v="21.75"/>
    <s v="IMS"/>
    <s v="IMS"/>
    <s v="To Define Q2 2025"/>
    <s v="Service Owner - Expert - manager follow this link "/>
    <s v="Not Applicable"/>
    <m/>
    <d v="2022-07-26T00:00:00"/>
    <s v="Initial baseline"/>
    <d v="2022-04-01T00:00:00"/>
    <n v="3"/>
    <n v="0.1"/>
    <s v="IMS"/>
    <m/>
    <x v="0"/>
  </r>
  <r>
    <x v="213"/>
    <x v="0"/>
    <s v="On_Prem_Public_Cloud"/>
    <s v="SAP"/>
    <x v="15"/>
    <x v="13"/>
    <x v="158"/>
    <s v="L3 Co-ordination Activities:_x000a_Reviewing Notes_x000a__x000a_L3 Implementaion Activities: : _x000a_Pre-requisite _x000a_DB Patch installation _x000a_Post operation _x000a_"/>
    <s v="Not Applicable"/>
    <s v="Not Applicable"/>
    <s v="Not Applicable"/>
    <s v="Database"/>
    <n v="21.75"/>
    <s v="IMS"/>
    <s v="IMS"/>
    <n v="3"/>
    <s v="Service Owner - Expert - manager follow this link "/>
    <s v="Not Applicable"/>
    <m/>
    <d v="2022-07-26T00:00:00"/>
    <s v="Initial baseline"/>
    <d v="2022-04-01T00:00:00"/>
    <n v="3"/>
    <n v="0.1"/>
    <s v="IMS"/>
    <m/>
    <x v="0"/>
  </r>
  <r>
    <x v="214"/>
    <x v="0"/>
    <s v="On_Prem"/>
    <s v="DB--SQL"/>
    <x v="2"/>
    <x v="0"/>
    <x v="159"/>
    <s v="Download Script &amp; copy to target server_x000a_Ensure backup triggered/available before the execution_x000a_Parse the given script_x000a_Execute the given script on requested server &amp; DB over planned execution time_x000a_Provide evidence or share output as requested"/>
    <s v="SQL Server Operations"/>
    <s v="https://sanofiservices.service-now.com/onesupport?id=sc_cat_item_guide&amp;table=sc_cat_item&amp;sys_id=d2802610db198f8805ea766eaf961961"/>
    <s v="Not Applicable"/>
    <s v="Not Applicable"/>
    <n v="21.75"/>
    <s v="IMS"/>
    <s v="IMS"/>
    <n v="5"/>
    <s v="Service Owner - Expert - manager follow this link "/>
    <s v="Not Applicable"/>
    <m/>
    <d v="2022-07-26T00:00:00"/>
    <s v="Initial baseline"/>
    <d v="2022-04-01T00:00:00"/>
    <n v="3"/>
    <n v="0.1"/>
    <s v="IMS"/>
    <m/>
    <x v="0"/>
  </r>
  <r>
    <x v="215"/>
    <x v="0"/>
    <s v="On_Prem"/>
    <s v="Network Security"/>
    <x v="3"/>
    <x v="0"/>
    <x v="160"/>
    <s v="Perform Design &amp; Implementation for Scada ENC's and Implementation of NGDC ENC's"/>
    <s v="No"/>
    <s v="Not Applicable"/>
    <s v="Not Applicable"/>
    <s v="Not Applicable"/>
    <n v="21.75"/>
    <s v="IMS"/>
    <s v="IMS"/>
    <s v="To Define Q2 2025"/>
    <s v="Service Owner - Expert - manager follow this link "/>
    <s v="Not Applicable"/>
    <m/>
    <d v="2022-07-26T00:00:00"/>
    <s v="Initial baseline"/>
    <d v="2022-04-01T00:00:00"/>
    <n v="3"/>
    <n v="0.1"/>
    <s v="IMS"/>
    <m/>
    <x v="0"/>
  </r>
  <r>
    <x v="216"/>
    <x v="0"/>
    <s v="On_Prem"/>
    <s v="STORAGE"/>
    <x v="5"/>
    <x v="5"/>
    <x v="161"/>
    <s v="L3 coordination:_x000a_Coordination with ITS, Platform team, Proximity and Vendor_x000a_L3 Implementation Activities:_x000a_Cleanup and decommission activities_x000a_Update CMDB"/>
    <s v="Storage Oprerations"/>
    <s v="https://sanofiservices.service-now.com/onesupport?id=sc_cat_item_guide&amp;table=sc_cat_item&amp;sys_id=5ba6336edb6d8c5097c1a1a01596191c"/>
    <s v="ITS-CHMOD0001164"/>
    <s v="Not Applicable"/>
    <n v="21.75"/>
    <s v="IMS"/>
    <s v="IMS"/>
    <n v="4"/>
    <s v="Service Owner - Expert - manager follow this link "/>
    <s v="Not Applicable"/>
    <m/>
    <d v="2023-04-05T00:00:00"/>
    <s v="V0.3"/>
    <d v="2023-04-05T00:00:00"/>
    <n v="2"/>
    <n v="0.1"/>
    <s v="IMS"/>
    <m/>
    <x v="0"/>
  </r>
  <r>
    <x v="217"/>
    <x v="0"/>
    <s v="On_Prem"/>
    <s v="Scheduling"/>
    <x v="47"/>
    <x v="0"/>
    <x v="151"/>
    <s v="L3 Implementation activity - Measured per job_x000a_1. Verification of the job configuration sheet.  _x000a_2. Verification of module installation,  Agent installation, FTP service activation, FS creation etc. _x000a_3.Creation/modification of resources, scheduling and other pre-req._x000a_4. Verification of the jobs execution. Coordination with the business / application team after the job scheduling.  Check implementation , Activation of job, Testing of the jobs on the environment by coordinating with application team. "/>
    <s v="Not Applicable"/>
    <s v="Not Applicable"/>
    <s v="Not Applicable"/>
    <s v="Not Applicable"/>
    <n v="21.75"/>
    <s v="IMS"/>
    <s v="IMS"/>
    <s v="1-20 jobs =&gt; 5 days_x000a_21-50 jobs =&gt; 10 days_x000a_51-100 jobs =&gt; 15 days_x000a_101-200 jobs =&gt; 20 days_x000a_201-300 jobs =&gt; 30 days_x000a_301-500 jobs =&gt; 35 days"/>
    <s v="Service Owner - Expert - manager follow this link "/>
    <s v="Not Applicable"/>
    <m/>
    <d v="2022-07-26T00:00:00"/>
    <s v="Initial baseline"/>
    <d v="2022-04-01T00:00:00"/>
    <n v="3"/>
    <n v="0.1"/>
    <s v="IMS"/>
    <m/>
    <x v="0"/>
  </r>
  <r>
    <x v="218"/>
    <x v="0"/>
    <s v="On_Prem"/>
    <s v="Scheduling"/>
    <x v="47"/>
    <x v="4"/>
    <x v="152"/>
    <s v="L3 Implementation activity - Measured per job_x000a_1.Pre-request check .i.e. access ,VTOM agent,file system health check ._x000a_2.Verification of new scripts provided by application,unix or other teams ._x000a_3.Creation of new jobs on the environment._x000a_4.Testing of new jobs in lower env._x000a_5.Verification of the jobs execution. Coordination with the business / application team after the job scheduling.Check implementation,Activation of job, Testing of the jobs on the environment by coordinating with application team."/>
    <s v="Not Applicable"/>
    <s v="Not Applicable"/>
    <s v="Not Applicable"/>
    <s v="Not Applicable"/>
    <n v="21.75"/>
    <s v="IMS"/>
    <s v="IMS"/>
    <s v="1-20 jobs =&gt; 5 days_x000a_21-50 jobs =&gt; 10 days_x000a_51-100 jobs =&gt; 15 days_x000a_101-200 jobs =&gt; 20 days_x000a_201-300 jobs =&gt; 30 days_x000a_301-500 jobs =&gt; 35 days"/>
    <s v="Service Owner - Expert - manager follow this link "/>
    <s v="Not Applicable"/>
    <m/>
    <d v="2022-07-26T00:00:00"/>
    <s v="Initial baseline"/>
    <d v="2022-04-01T00:00:00"/>
    <n v="3"/>
    <n v="0.1"/>
    <s v="IMS"/>
    <m/>
    <x v="0"/>
  </r>
  <r>
    <x v="219"/>
    <x v="0"/>
    <s v="On_Prem"/>
    <s v="Scheduling"/>
    <x v="33"/>
    <x v="8"/>
    <x v="162"/>
    <s v="&quot;L3 Co-ordination Activity - Measured per Stream   of effort:_x000a_1. Requirement gathering from the application / business team for the job scheduling. _x000a_2. Helping requestor with the job configuration sheet._x000a_3. Coordination with platform teams to install agents on the servers. _x000a_4. Control-M Module installation and profile configuration._x000a_5. Verifying if the requirements fit in according to the templates / designs available for the team or highlighting need of new design to scheduling service owner._x000a__x000a_L3 Implementation activity - Measured per stream   of effort : _x000a_1. Verification of module installation,  Agent installation, FTP service activation, FS creation etc.  _x000a_2. Creation of new jobs on the environment. _x000a_3. Verification of the jobs execution. Coordination/meetings with the business / application team after the job scheduling.  Check implementation , Activation of job, Testing of the jobs on the environment by coordination with application team."/>
    <s v="Not Applicable"/>
    <s v="Not Applicable"/>
    <s v="Not Applicable"/>
    <s v="formula per job with // rate"/>
    <s v="BY JOB"/>
    <s v="BY JOB"/>
    <n v="0"/>
    <s v="1-20 jobs =&gt; 5 days_x000a_21-50 jobs =&gt; 10 days_x000a_51-100 jobs =&gt; 15 days_x000a_101-200 jobs =&gt; 20 days_x000a_201-300 jobs =&gt; 30 days_x000a_301-500 jobs =&gt; 35 days"/>
    <s v="Service Owner - Expert - manager follow this link "/>
    <n v="0.6"/>
    <s v="Price calculation: Unit Price + ((#Jobs-1) x Unit price x Synergy rate) = 25+((#Jobs-1)*25*60%)"/>
    <d v="2022-07-26T00:00:00"/>
    <s v="Initial baseline"/>
    <d v="2022-04-01T00:00:00"/>
    <n v="3"/>
    <n v="0.1"/>
    <n v="0"/>
    <n v="0"/>
    <x v="1"/>
  </r>
  <r>
    <x v="220"/>
    <x v="0"/>
    <s v="On_Prem"/>
    <s v="Appian/BPM"/>
    <x v="19"/>
    <x v="7"/>
    <x v="163"/>
    <s v="L3 Implementation Activities: _x000a_1. Installation procedure pre-requisite checks _x000a_2. Application re-installation/migration_x000a_3. Configuration changes_x000a_4. Post installation application verification_x000a_5. Testing of the application functionality"/>
    <s v="Business Intelligence (BI) - Creation-Evolution"/>
    <s v="https://sanofiservices.service-now.com/onesupport?id=sc_cat_item&amp;table=sc_cat_item&amp;sys_id=47ffae8a4f29cf40cb48c0428110c769"/>
    <s v="Not Applicable"/>
    <s v="Per Server"/>
    <n v="21.75"/>
    <n v="22.099999999999998"/>
    <n v="480.67499999999995"/>
    <n v="15"/>
    <s v="Service Owner - Expert - manager follow this link "/>
    <s v="Not Applicable"/>
    <m/>
    <d v="2022-07-26T00:00:00"/>
    <s v="Initial baseline"/>
    <d v="2022-04-01T00:00:00"/>
    <n v="3"/>
    <n v="0.1"/>
    <n v="432.60749999999996"/>
    <m/>
    <x v="1"/>
  </r>
  <r>
    <x v="221"/>
    <x v="0"/>
    <s v="On_Prem"/>
    <s v="BI"/>
    <x v="58"/>
    <x v="7"/>
    <x v="35"/>
    <s v="L3 Implementation Activities: _x000a_1. Installation procedure pre-requisite checks _x000a_2. Application re-installation/migration_x000a_3. Configuration changes_x000a_4. Post installation application verification_x000a_5. Testing of the application functionality"/>
    <s v="Business Intelligence (BI) - CreatioNot Applicabledministration/Configuration"/>
    <s v="https://sanofiservices.service-now.com/onesupport?id=sc_cat_item&amp;table=sc_cat_item&amp;sys_id=75205b064fa9cf40cb48c0428110c778"/>
    <s v="Not Applicable"/>
    <s v="Per Server"/>
    <n v="21.75"/>
    <n v="22.099999999999998"/>
    <n v="480.67499999999995"/>
    <n v="15"/>
    <s v="Service Owner - Expert - manager follow this link "/>
    <s v="Not Applicable"/>
    <m/>
    <d v="2022-07-26T00:00:00"/>
    <s v="Initial baseline"/>
    <d v="2022-04-01T00:00:00"/>
    <n v="3"/>
    <n v="0.1"/>
    <n v="432.60749999999996"/>
    <m/>
    <x v="1"/>
  </r>
  <r>
    <x v="222"/>
    <x v="0"/>
    <s v="On_Prem"/>
    <s v="BI--QLIKSENSE"/>
    <x v="24"/>
    <x v="7"/>
    <x v="163"/>
    <s v="L3 Implementation Activities: _x000a_1. Installation procedure pre-requisite checks _x000a_2. Application re-installation/migration_x000a_3. Configuration changes_x000a_4. Post installation application verification_x000a_5. Testing of the application functionality"/>
    <s v="Business Intelligence (BI) - Creation-Evolution"/>
    <s v="https://sanofiservices.service-now.com/onesupport?id=sc_cat_item&amp;table=sc_cat_item&amp;sys_id=47ffae8a4f29cf40cb48c0428110c769"/>
    <s v="Not Applicable"/>
    <s v="Per Server"/>
    <n v="21.75"/>
    <n v="22.099999999999998"/>
    <n v="480.67499999999995"/>
    <n v="15"/>
    <s v="Service Owner - Expert - manager follow this link "/>
    <s v="Not Applicable"/>
    <m/>
    <d v="2022-07-26T00:00:00"/>
    <s v="Initial baseline"/>
    <d v="2022-04-01T00:00:00"/>
    <n v="3"/>
    <n v="0.1"/>
    <n v="432.60749999999996"/>
    <m/>
    <x v="1"/>
  </r>
  <r>
    <x v="223"/>
    <x v="0"/>
    <s v="On_Prem"/>
    <s v="DB--SQL"/>
    <x v="59"/>
    <x v="7"/>
    <x v="164"/>
    <s v="L3 Implementation activity : _x000a_IQ Tasks Validation with Gifts form , evidences to be validated , logs to be checked and final approval : 2 _x000a_L3 Coordination Activity:_x000a_* Co-ordinating with application team to get the requirement :1 hour_x000a_* Verifying IQ post implementation : 1 "/>
    <s v="DB Others"/>
    <s v="Not Applicable"/>
    <s v="Not Applicable"/>
    <s v="Per Instance"/>
    <n v="21.75"/>
    <n v="3.6"/>
    <n v="78.3"/>
    <n v="7"/>
    <s v="Service Owner - Expert - manager follow this link "/>
    <s v="Not Applicable"/>
    <m/>
    <d v="2022-07-26T00:00:00"/>
    <s v="Initial baseline"/>
    <d v="2022-04-01T00:00:00"/>
    <n v="3"/>
    <n v="0.1"/>
    <n v="70.47"/>
    <m/>
    <x v="1"/>
  </r>
  <r>
    <x v="224"/>
    <x v="0"/>
    <s v="On_Prem"/>
    <s v="ETL--Informatica"/>
    <x v="34"/>
    <x v="7"/>
    <x v="165"/>
    <n v="0"/>
    <s v="Not Applicable"/>
    <s v="Not Applicable"/>
    <s v="ITS-CHMOD0003984"/>
    <s v="per deployment"/>
    <n v="21.75"/>
    <n v="2"/>
    <n v="43.5"/>
    <n v="7"/>
    <s v="Service Owner - Expert - manager follow this link "/>
    <s v="Not Applicable"/>
    <m/>
    <d v="2023-06-09T00:00:00"/>
    <s v="V0.4"/>
    <d v="2023-06-09T00:00:00"/>
    <n v="2"/>
    <n v="0.1"/>
    <n v="39.15"/>
    <m/>
    <x v="1"/>
  </r>
  <r>
    <x v="225"/>
    <x v="0"/>
    <s v="Cloud"/>
    <s v="ETL--Informatica"/>
    <x v="34"/>
    <x v="7"/>
    <x v="166"/>
    <s v="Co-ordination Activity: _x000a_Requirement gathering from application teams_x000a__x000a_Implementation activity : _x000a_1. Unix user creation_x000a_2. Informatica project space creation._x000a_2.a. End user creation for access to project spaces _x000a_2.b. Database connection creation._x000a_2.c. Creation of user access roles. _x000a_2.d. Assigning permissions or privileges._x000a_2.e. Folder structure creation. _x000a_2.f. Adding PAM centrified serivce accounts to the servers _x000a_(For SSH password less authentication ) "/>
    <s v="Informatica Hosting MaNot Applicablegement"/>
    <s v="https://sanofiservices.service-now.com/onesupport?id=sc_cat_item_guide&amp;table=sc_cat_item&amp;sys_id=d6086578dba52894cff7043bd3961985"/>
    <s v="ITS-CHMOD0003984"/>
    <s v="per project space creation for environment. "/>
    <n v="21.75"/>
    <n v="10.199999999999999"/>
    <n v="221.85"/>
    <n v="5"/>
    <s v="Service Owner - Expert - manager follow this link "/>
    <s v="Not Applicable"/>
    <m/>
    <d v="2022-07-26T00:00:00"/>
    <s v="Initial baseline"/>
    <d v="2022-04-01T00:00:00"/>
    <n v="3"/>
    <n v="0.1"/>
    <n v="199.66499999999999"/>
    <m/>
    <x v="1"/>
  </r>
  <r>
    <x v="226"/>
    <x v="0"/>
    <s v="On_Prem"/>
    <s v="ETL--Informatica"/>
    <x v="34"/>
    <x v="7"/>
    <x v="167"/>
    <s v="Co-ordination Activity: _x000a_Requirement gathering from application teams_x000a__x000a_Implementation activity : _x000a_1. Unix user creation_x000a_2. Informatica project space creation._x000a_2.a. End user creation for access to project spaces _x000a_2.b. Database connection creation._x000a_2.c. Creation of user access roles. _x000a_2.d. Assigning permissions or privileges._x000a_2.e. Folder structure creation. _x000a_2.f. Adding PAM centrified serivce accounts to the servers _x000a_(For SSH password less authentication ) "/>
    <s v="ETL MaNot Applicablegement"/>
    <s v="https://sanofiservices.service-now.com/onesupport?id=sc_cat_item&amp;table=sc_cat_item&amp;sys_id=3399b696db39070005ea766eaf9619a8"/>
    <s v="Not Applicable"/>
    <s v="per project space creation for environment. "/>
    <n v="21.75"/>
    <n v="10.199999999999999"/>
    <n v="221.85"/>
    <n v="3"/>
    <s v="Service Owner - Expert - manager follow this link "/>
    <s v="Not Applicable"/>
    <m/>
    <d v="2022-07-26T00:00:00"/>
    <s v="Initial baseline"/>
    <d v="2022-04-01T00:00:00"/>
    <n v="3"/>
    <n v="0.1"/>
    <n v="199.66499999999999"/>
    <m/>
    <x v="1"/>
  </r>
  <r>
    <x v="227"/>
    <x v="0"/>
    <s v="On_Prem"/>
    <s v="STORAGE"/>
    <x v="5"/>
    <x v="7"/>
    <x v="168"/>
    <s v="1. Receive the standard RITM for the CIFS share creation._x000a_2. Gathering information from the RITM._x000a_3. Co-ordinate with the requestor to get the missing mandatory details in RITM._x000a_4. The standard change will be open post the RITM/first sctask is approved._x000a_5. Verify the vserver name/path/IP from the RITM and check the free space in the storage aggregate._x000a_6. Create the new volume from the Vserver having CIFS protocol and new share from the newly created volume._x000a_7. Assign the snapshot policy for the new volume and create the snapmirror relationship for the volume from destination storage(CVO)._x000a_8. Assign one of the ctask to the access management team to provide access to the users/AD groups which is provided in the RITM._x000a_9. Get the confirmation from the requestor on the share access._x000a_10. Close the final ctask of the standard change which is for validation task, so that complete change will be closed."/>
    <s v="Storage Oprerations"/>
    <s v="https://sanofiservices.service-now.com/onesupport?id=sc_cat_item_guide&amp;table=sc_cat_item&amp;sys_id=5ba6336edb6d8c5097c1a1a01596191c"/>
    <s v="ITS-CHMOD0001434"/>
    <s v="per CIFS share"/>
    <n v="21.75"/>
    <n v="2"/>
    <n v="43.5"/>
    <n v="5"/>
    <s v="Service Owner - Expert - manager follow this link "/>
    <s v="Not Applicable"/>
    <m/>
    <d v="2023-06-09T00:00:00"/>
    <s v="V0.4"/>
    <d v="2023-06-09T00:00:00"/>
    <n v="2"/>
    <n v="0.1"/>
    <n v="39.15"/>
    <m/>
    <x v="1"/>
  </r>
  <r>
    <x v="228"/>
    <x v="0"/>
    <s v="On_Prem"/>
    <s v="STORAGE"/>
    <x v="5"/>
    <x v="7"/>
    <x v="169"/>
    <s v="1. Receive the standard RITM for the CIFS/NFS share creation._x000a_2. Gathering information from the RITM._x000a_3. Co-ordinate with the requestor to get the missing mandatory details in RITM._x000a_4. The standard change will be open post the RITM/first sctask is approved._x000a_5. Verify the vserver name/path/IP from the RITM and check the free space in the storage aggregate._x000a_6. Create the new volume from the Vserver having CIFS/NFS protocol(multi) and new share from the newly created volume._x000a_7. create a new export policy and assign the policy to the new created volume._x000a_8. create the new rules by adding the unix server IPs under the export policy._x000a_7. Assign the snapshot policy for the new volume and create the snapmirror relationship for the volume from destination storage(CVO)._x000a_8. Assign one of the ctask to the access management team to provide access to the users/AD groups/service account which is provided in the RITM._x000a_9. Get the confirmation from the requestor on the share access._x000a_10. Close the final ctask of the standard change which is for validation task, so that complete change will be closed."/>
    <s v="Storage Oprerations"/>
    <s v="https://sanofiservices.service-now.com/onesupport?id=sc_cat_item_guide&amp;table=sc_cat_item&amp;sys_id=5ba6336edb6d8c5097c1a1a01596191c"/>
    <s v="ITS-CHMOD0001435"/>
    <s v="Per Request"/>
    <n v="21.75"/>
    <n v="2"/>
    <n v="43.5"/>
    <n v="5"/>
    <s v="Service Owner - Expert - manager follow this link "/>
    <s v="Not Applicable"/>
    <m/>
    <d v="2023-06-09T00:00:00"/>
    <s v="V0.4"/>
    <d v="2023-06-09T00:00:00"/>
    <n v="2"/>
    <n v="0.1"/>
    <n v="39.15"/>
    <m/>
    <x v="1"/>
  </r>
  <r>
    <x v="229"/>
    <x v="0"/>
    <s v="On_Prem"/>
    <s v="STORAGE"/>
    <x v="5"/>
    <x v="7"/>
    <x v="170"/>
    <s v="1. Receive the standard RITM for the CIFS share creation._x000a_2. Gathering information from the RITM._x000a_3. Co-ordinate with the requestor to get the missing mandatory details in RITM._x000a_4. The standard change will be open post the RITM/first sctask is approved._x000a_5. Verify the vserver name/path/IP from the RITM and check the free space in the storage aggregate._x000a_6. Create the new volume from the Vserver having NFS protocol and create a new export policy and assign the policy to the new created volume._x000a_7. Create the new rules by adding the unix server IPs under the export policy._x000a_8. Get the confirmation from the requestor on the NFS path access from unix server._x000a_9. Close the final ctask of the standard change which is for validation task, so that complete change will be closed."/>
    <s v="Storage Oprerations"/>
    <s v="https://sanofiservices.service-now.com/onesupport?id=sc_cat_item_guide&amp;table=sc_cat_item&amp;sys_id=5ba6336edb6d8c5097c1a1a01596191c"/>
    <s v="ITS-CHMOD0001438"/>
    <s v="Per Request"/>
    <n v="21.75"/>
    <n v="2"/>
    <n v="43.5"/>
    <n v="5"/>
    <s v="Service Owner - Expert - manager follow this link "/>
    <s v="Not Applicable"/>
    <m/>
    <d v="2023-06-09T00:00:00"/>
    <s v="V0.4"/>
    <d v="2023-06-09T00:00:00"/>
    <n v="2"/>
    <n v="0.1"/>
    <n v="39.15"/>
    <m/>
    <x v="1"/>
  </r>
  <r>
    <x v="230"/>
    <x v="0"/>
    <s v="On_Cloud"/>
    <s v="STORAGE"/>
    <x v="60"/>
    <x v="7"/>
    <x v="171"/>
    <s v="1. RITM received from the requestor._x000a_2. We will check the account names, share name, backup details are given in RITM._x000a_3. Share the standard template to users if any mandotory information is missing._x000a_4. once all the details are received, login to the AWS console with PUID._x000a_5. search for the account name and login to the requested account name._x000a_6. search S3 service and create S3 bucket as per the requirement._x000a_7. Share the S3 bucket name and ARN details to the requestor."/>
    <s v="Cloud Storage Operations"/>
    <s v="https://sanofiservices.service-now.com/onesupport?id=sc_cat_item_guide&amp;table=sc_cat_item&amp;sys_id=a93ec1b31b46f810d849206e3b4bcb58"/>
    <s v="ITS-CHMOD0004489"/>
    <s v="Per Request"/>
    <n v="21.75"/>
    <n v="2"/>
    <n v="43.5"/>
    <n v="15"/>
    <s v="Service Owner - Expert - manager follow this link "/>
    <s v="Not Applicable"/>
    <m/>
    <d v="2023-06-09T00:00:00"/>
    <s v="V0.4"/>
    <d v="2023-06-09T00:00:00"/>
    <n v="2"/>
    <n v="0.1"/>
    <n v="39.15"/>
    <m/>
    <x v="1"/>
  </r>
  <r>
    <x v="231"/>
    <x v="0"/>
    <s v="On_Cloud"/>
    <s v="STORAGE"/>
    <x v="61"/>
    <x v="7"/>
    <x v="172"/>
    <s v="1. RITM received from the requestor._x000a_2. We will check the account names, backup details are given in RITM RITM23121313._x000a_3. once all the details are received, login to the AWS console with PUID._x000a_4. search for the account name and login to the requested account name._x000a_5. search the EFS service and create the EFS file system._x000a_6. Share the mount point details and EFS file name, EFS ID to the Unix team to mount the EFS file system for the required host."/>
    <s v="Cloud Storage Operations"/>
    <s v="https://sanofiservices.service-now.com/onesupport?id=sc_cat_item_guide&amp;table=sc_cat_item&amp;sys_id=a93ec1b31b46f810d849206e3b4bcb58"/>
    <s v="ITS-CHMOD0004491"/>
    <s v="Per Request"/>
    <n v="21.75"/>
    <n v="2"/>
    <n v="43.5"/>
    <n v="15"/>
    <s v="Service Owner - Expert - manager follow this link "/>
    <s v="Not Applicable"/>
    <m/>
    <d v="2023-06-09T00:00:00"/>
    <s v="V0.4"/>
    <d v="2023-06-09T00:00:00"/>
    <n v="2"/>
    <n v="0.1"/>
    <n v="39.15"/>
    <m/>
    <x v="1"/>
  </r>
  <r>
    <x v="232"/>
    <x v="0"/>
    <s v="On_Cloud"/>
    <s v="STORAGE"/>
    <x v="62"/>
    <x v="7"/>
    <x v="173"/>
    <s v="1. RITM received from the requestor._x000a_2. We will check the AWS account ID, backup details,FSX instance are given in RITM RITM23215413._x000a_3. once all the details are received, login to the AWS console with PUID._x000a_4. Search for the account name and login to the requested account name._x000a_5. Search for FSX instance and create the new FSX-share_x000a_6. Share the FSX share path to the requestor."/>
    <s v="Cloud Storage Operations"/>
    <s v="https://sanofiservices.service-now.com/onesupport?id=sc_cat_item_guide&amp;table=sc_cat_item&amp;sys_id=a93ec1b31b46f810d849206e3b4bcb58"/>
    <s v="ITS-CHMOD0004492"/>
    <s v="Per Request"/>
    <n v="21.75"/>
    <n v="2"/>
    <n v="43.5"/>
    <n v="15"/>
    <s v="Service Owner - Expert - manager follow this link "/>
    <s v="Not Applicable"/>
    <m/>
    <d v="2023-06-09T00:00:00"/>
    <s v="V0.4"/>
    <d v="2023-06-09T00:00:00"/>
    <n v="2"/>
    <n v="0.1"/>
    <n v="39.15"/>
    <m/>
    <x v="1"/>
  </r>
  <r>
    <x v="233"/>
    <x v="0"/>
    <s v="On_Prem_NGDC"/>
    <s v="Unix "/>
    <x v="42"/>
    <x v="7"/>
    <x v="174"/>
    <s v="L3 Implementation Activities::_x000a_- L3 Review &amp; Verification post installation _x000a_- IQ – verification &amp; approval_x000a_L3 Co-ordination Activities ::_x000a_- Gather requirement in GIFT form and verify GIFT and ensure completeness."/>
    <s v="Legacy Server provisioning standard Windows"/>
    <s v="https://sanofiservices.service-now.com/onesupport?id=sc_cat_item&amp;table=sc_cat_item&amp;sys_id=a13007884fe0cb04cb48c0428110c751"/>
    <s v="ITS-CHMOD0000412"/>
    <s v="per VM"/>
    <n v="21.75"/>
    <n v="2.7"/>
    <n v="58.725000000000001"/>
    <n v="2"/>
    <s v="Service Owner - Expert - manager follow this link "/>
    <s v="Not Applicable"/>
    <m/>
    <d v="2022-07-26T00:00:00"/>
    <s v="Initial baseline"/>
    <d v="2022-04-01T00:00:00"/>
    <n v="3"/>
    <n v="0.1"/>
    <n v="52.852499999999999"/>
    <m/>
    <x v="1"/>
  </r>
  <r>
    <x v="234"/>
    <x v="0"/>
    <s v="On_Prem_NonNGDC"/>
    <s v="Unix "/>
    <x v="42"/>
    <x v="7"/>
    <x v="174"/>
    <s v="3. once all the details are received, login to the AWS console with PUID."/>
    <s v="AIMS Infrastructure - Non-Project"/>
    <s v="https://sanofiservices.service-now.com/onesupport?id=sc_cat_item&amp;table=sc_cat_item&amp;sys_id=d2970fcadbe9878405ea766eaf96192e"/>
    <s v="ITS-CHMOD0001329"/>
    <s v="per VM"/>
    <n v="21.75"/>
    <n v="2.7"/>
    <n v="58.725000000000001"/>
    <n v="2"/>
    <s v="Service Owner - Expert - manager follow this link "/>
    <s v="Not Applicable"/>
    <m/>
    <d v="2022-07-26T00:00:00"/>
    <s v="Initial baseline"/>
    <d v="2022-04-01T00:00:00"/>
    <n v="3"/>
    <n v="0.1"/>
    <n v="52.852499999999999"/>
    <m/>
    <x v="1"/>
  </r>
  <r>
    <x v="235"/>
    <x v="0"/>
    <s v="Public_Cloud"/>
    <s v="Unix "/>
    <x v="63"/>
    <x v="7"/>
    <x v="175"/>
    <s v="4. Search for the account name and login to the requested account name."/>
    <s v="Not Applicable"/>
    <s v="Not Applicable"/>
    <s v="ITS-CHMOD0005319"/>
    <s v="Per VM"/>
    <n v="21.75"/>
    <n v="0.9"/>
    <n v="19.574999999999999"/>
    <n v="7"/>
    <s v="Service Owner - Expert - manager follow this link "/>
    <s v="Not Applicable"/>
    <s v="Out of scope, Unix team not build any server and no KT provided"/>
    <d v="2022-07-26T00:00:00"/>
    <s v="Initial baseline"/>
    <d v="2022-04-01T00:00:00"/>
    <n v="3"/>
    <n v="0.1"/>
    <n v="17.6175"/>
    <m/>
    <x v="1"/>
  </r>
  <r>
    <x v="236"/>
    <x v="0"/>
    <s v="Public_Cloud"/>
    <s v="Unix "/>
    <x v="64"/>
    <x v="7"/>
    <x v="176"/>
    <s v="5. Search for FSX instance and create the new FSX-share &quot;tibco-scale-dev-ebuy&quot; in existing FSX instance:cld-aws-global-dev-workloads-TIBCO-fsx002 fs-09eedfe6c58f3188a."/>
    <s v="Not Applicable"/>
    <s v="Not Applicable"/>
    <s v="ITS-CHMOD0005248"/>
    <s v="Per VM"/>
    <n v="21.75"/>
    <n v="0.9"/>
    <n v="19.574999999999999"/>
    <n v="7"/>
    <s v="Service Owner - Expert - manager follow this link "/>
    <s v="Not Applicable"/>
    <s v="Out of scope, Unix team not build any server and no KT provided"/>
    <d v="2022-07-26T00:00:00"/>
    <s v="Initial baseline"/>
    <d v="2022-04-01T00:00:00"/>
    <n v="3"/>
    <n v="0.1"/>
    <n v="17.6175"/>
    <m/>
    <x v="1"/>
  </r>
  <r>
    <x v="237"/>
    <x v="0"/>
    <s v="On_Prem_NonNGDC"/>
    <s v="WINDOWS"/>
    <x v="31"/>
    <x v="7"/>
    <x v="174"/>
    <s v="6. Share the FSX share path to the requestor."/>
    <s v="AIMS Infrastructure - Non-Project"/>
    <s v="https://sanofiservices.service-now.com/onesupport?id=sc_cat_item&amp;table=sc_cat_item&amp;sys_id=d2970fcadbe9878405ea766eaf96192e"/>
    <s v="ITS-CHMOD0001329"/>
    <s v="per VM"/>
    <n v="21.75"/>
    <n v="4"/>
    <n v="87"/>
    <n v="5"/>
    <s v="Service Owner - Expert - manager follow this link "/>
    <s v="Not Applicable"/>
    <m/>
    <d v="2022-07-26T00:00:00"/>
    <s v="Initial baseline"/>
    <d v="2022-04-01T00:00:00"/>
    <n v="3"/>
    <n v="0.1"/>
    <n v="78.3"/>
    <m/>
    <x v="1"/>
  </r>
  <r>
    <x v="238"/>
    <x v="0"/>
    <s v="Public_Cloud"/>
    <s v="WINDOWS"/>
    <x v="55"/>
    <x v="7"/>
    <x v="177"/>
    <s v="_x0009_- Prerequisite check_x000a__x0009_- IQ – verification &amp; approval"/>
    <s v="Public Cloud - AWS or GCP - Windows &amp; Linux Server (Standard, IIS, JBoss, Apache)"/>
    <s v="https://sanofiservices.service-now.com/onesupport?id=sc_cat_item_guide&amp;table=sc_cat_item&amp;sys_id=ec57c51b1bd3fb8017d3fddacd4bcb9b"/>
    <s v="ITS-CHMOD0003951"/>
    <s v="Per VM"/>
    <n v="21.75"/>
    <n v="1.8"/>
    <n v="39.15"/>
    <n v="7"/>
    <s v="Service Owner - Expert - manager follow this link "/>
    <s v="Not Applicable"/>
    <m/>
    <d v="2022-07-26T00:00:00"/>
    <s v="Initial baseline"/>
    <d v="2022-04-01T00:00:00"/>
    <n v="3"/>
    <n v="0.1"/>
    <n v="35.234999999999999"/>
    <m/>
    <x v="1"/>
  </r>
  <r>
    <x v="239"/>
    <x v="0"/>
    <s v="Public_Cloud"/>
    <s v="WINDOWS"/>
    <x v="65"/>
    <x v="7"/>
    <x v="178"/>
    <s v="Managed by Mobiz team"/>
    <s v="Public Cloud - AWS or GCP - Windows &amp; Linux Server (Standard, IIS, JBoss, Apache)"/>
    <s v="https://sanofiservices.service-now.com/onesupport?id=sc_cat_item_guide&amp;table=sc_cat_item&amp;sys_id=ec57c51b1bd3fb8017d3fddacd4bcb9b"/>
    <s v="ITS-CHMOD0005318"/>
    <s v="Per VM"/>
    <n v="21.75"/>
    <n v="0.9"/>
    <n v="19.574999999999999"/>
    <n v="7"/>
    <s v="Service Owner - Expert - manager follow this link "/>
    <s v="Not Applicable"/>
    <m/>
    <d v="2022-07-26T00:00:00"/>
    <s v="Initial baseline"/>
    <d v="2022-04-01T00:00:00"/>
    <n v="3"/>
    <n v="0.1"/>
    <n v="17.6175"/>
    <m/>
    <x v="1"/>
  </r>
  <r>
    <x v="240"/>
    <x v="0"/>
    <s v="On_Prem_NGDC"/>
    <s v="WINDOWS/Citrix"/>
    <x v="46"/>
    <x v="7"/>
    <x v="179"/>
    <s v="_x0009_- Prerequisite check_x000a__x0009_- IQ – verification &amp; approval"/>
    <s v="Legacy Server provisioning standard Windows"/>
    <s v="https://sanofiservices.service-now.com/onesupport?id=sc_cat_item&amp;table=sc_cat_item&amp;sys_id=a13007884fe0cb04cb48c0428110c751"/>
    <s v="ITS-CHMOD0000412"/>
    <s v="per VM"/>
    <n v="21.75"/>
    <n v="2.7"/>
    <n v="58.725000000000001"/>
    <n v="2"/>
    <s v="Service Owner - Expert - manager follow this link "/>
    <s v="Not Applicable"/>
    <m/>
    <d v="2022-07-26T00:00:00"/>
    <s v="Initial baseline"/>
    <d v="2022-04-01T00:00:00"/>
    <n v="3"/>
    <n v="0.1"/>
    <n v="52.852499999999999"/>
    <m/>
    <x v="1"/>
  </r>
  <r>
    <x v="241"/>
    <x v="0"/>
    <s v="Public_Cloud"/>
    <s v="BI--Cloud"/>
    <x v="66"/>
    <x v="7"/>
    <x v="35"/>
    <s v="L3 Implementation Activities: _x000a_1. Installation procedure pre-requisite checks _x000a_2. Application re-installation/migration_x000a_3. Configuration changes_x000a_4. Post installation application verification_x000a_5. Testing of the application functionality"/>
    <s v="Business Intelligence (BI) - CreatioNot Applicabledministration/Configuration"/>
    <s v="https://sanofiservices.service-now.com/onesupport?id=sc_cat_item&amp;table=sc_cat_item&amp;sys_id=75205b064fa9cf40cb48c0428110c778"/>
    <s v="Not Applicable"/>
    <s v="Per Server"/>
    <n v="21.75"/>
    <n v="22.099999999999998"/>
    <n v="480.67499999999995"/>
    <n v="15"/>
    <s v="Service Owner - Expert - manager follow this link "/>
    <s v="Not Applicable"/>
    <m/>
    <d v="2022-07-26T00:00:00"/>
    <s v="Initial baseline"/>
    <d v="2022-04-01T00:00:00"/>
    <n v="3"/>
    <n v="0.1"/>
    <n v="432.60749999999996"/>
    <m/>
    <x v="1"/>
  </r>
  <r>
    <x v="242"/>
    <x v="0"/>
    <s v="On_Prem"/>
    <s v="EAI--Tibco "/>
    <x v="32"/>
    <x v="7"/>
    <x v="180"/>
    <s v="TIBCO Administration Request_x000a_EAI- TIBCO Platform Administration and Deployment_x000a_This request allows ITPLs, TPDLs, Application Support, and others to request EAI team:_x000a__x000a_- to perform various TIBCO Platform Administration tasks._x000a_- to perform TIBCO Application deployments._x000a_- to perform EMS Administration operations._x000a_- to provision or revoke access from TIBCO Admin, TEA, EMS, MDM._x000a_- to make configuration changes on existing TIBCO domains, environments, and servers._x000a_- to perform deletion, archival, copy, and movement of files, folders, and other entities._x000a_- to extract and provide files, application archives, configurations, and other application related objects."/>
    <s v="TIBCO Administration Request"/>
    <s v="https://sanofiservices.service-now.com/dsp/?id=sc_cat_item&amp;sys_id=ae3a7e7c1bd0b410e4aebb739b4bcbd1"/>
    <s v="ITS-CHMOD0004805"/>
    <s v="Per Deployment"/>
    <n v="21.75"/>
    <n v="4"/>
    <n v="87"/>
    <n v="10"/>
    <s v="Service Owner - Expert - manager follow this link "/>
    <s v="Not Applicable"/>
    <m/>
    <d v="2022-07-26T00:00:00"/>
    <s v="Initial baseline"/>
    <d v="2022-04-01T00:00:00"/>
    <n v="3"/>
    <n v="0.1"/>
    <n v="78.3"/>
    <m/>
    <x v="1"/>
  </r>
  <r>
    <x v="243"/>
    <x v="0"/>
    <s v="On_Prem"/>
    <s v="VMWare"/>
    <x v="31"/>
    <x v="7"/>
    <x v="181"/>
    <s v="L2 Installation Activities:_x000a_- OS Deployment_x000a_L3 Coordination &amp; Implementation Activities:_x000a_- Host Profile configuration_x000a_- Network Configuration -_x000a_- Storage Configuration _x000a_- Cluster Configuration including HA and DRS configuration "/>
    <s v="Not Applicable"/>
    <s v="Not Applicable"/>
    <s v="Not Applicable"/>
    <s v="Per cluster"/>
    <n v="21.75"/>
    <n v="33"/>
    <n v="717.75"/>
    <n v="7"/>
    <s v="Service Owner - Expert - manager follow this link "/>
    <s v="Not Applicable"/>
    <m/>
    <d v="2023-04-05T00:00:00"/>
    <s v="V0.3"/>
    <d v="2023-04-05T00:00:00"/>
    <n v="2"/>
    <n v="0.1"/>
    <n v="645.97500000000002"/>
    <m/>
    <x v="1"/>
  </r>
  <r>
    <x v="244"/>
    <x v="0"/>
    <s v="On_Prem"/>
    <s v="VMWare"/>
    <x v="31"/>
    <x v="7"/>
    <x v="182"/>
    <s v="L3 Coordination Activities:_x000a_L3 Implementation Activities:_x000a_OS Deployment_x000a_Hardware Setup "/>
    <s v="Not Applicable"/>
    <s v="Not Applicable"/>
    <s v="Not Applicable"/>
    <s v="Per server"/>
    <n v="21.75"/>
    <n v="3.5"/>
    <n v="76.125"/>
    <n v="5"/>
    <s v="Service Owner - Expert - manager follow this link "/>
    <s v="Not Applicable"/>
    <m/>
    <d v="2023-04-05T00:00:00"/>
    <s v="V0.3"/>
    <d v="2023-04-05T00:00:00"/>
    <n v="2"/>
    <n v="0.1"/>
    <n v="68.512500000000003"/>
    <m/>
    <x v="1"/>
  </r>
  <r>
    <x v="245"/>
    <x v="0"/>
    <s v="On_Prem"/>
    <s v="VMWare"/>
    <x v="31"/>
    <x v="0"/>
    <x v="183"/>
    <s v="L3 Coordination &amp; Implementation Activities:_x000a_- Requirement analysis and Pre-requisites check_x000a_- Enable Replication on the VMs _x000a_- Configure Protection Group _x000a_- Configure Recovery Plan "/>
    <s v="Not Applicable"/>
    <s v="Not Applicable"/>
    <s v="Not Applicable"/>
    <s v="Not Applicable"/>
    <n v="21.75"/>
    <s v="IMS"/>
    <s v="IMS"/>
    <n v="7"/>
    <s v="Service Owner - Expert - manager follow this link "/>
    <s v="Not Applicable"/>
    <m/>
    <d v="2023-04-05T00:00:00"/>
    <s v="V0.3"/>
    <d v="2023-04-05T00:00:00"/>
    <n v="2"/>
    <n v="0.1"/>
    <s v="IMS"/>
    <m/>
    <x v="0"/>
  </r>
  <r>
    <x v="246"/>
    <x v="1"/>
    <s v="On_Prem"/>
    <s v="CARA Deploy Team"/>
    <x v="67"/>
    <x v="7"/>
    <x v="184"/>
    <s v="Validate the AS and Scoping document  - 15 minutes _x000a_Validate the technical document                - 15 minutes_x000a_Validate the scoping document                   - 15 mintues_x000a_Input flow in CARA ( to validate the details in Vcentre) ex:datastore,connectivity to Vcentre,Local NES details,DNS entry validation)  - 20 minutes_x000a_Creation of IQTC &amp; TSD for Infra                 - 30 minutes (Trigger the flow in CARA and it has multiple sub-flows and it takes time) _x000a_Creation of IQTC &amp; PSD for application    -30 minutes"/>
    <s v="Not Applicable"/>
    <s v="Not Applicable"/>
    <s v="Not Applicable"/>
    <s v="per deployment  with mulitple VM by deployment "/>
    <n v="21.75"/>
    <n v="2"/>
    <n v="43.5"/>
    <n v="2"/>
    <s v="Service Owner - Expert - manager follow this link "/>
    <s v="Not Applicable"/>
    <m/>
    <d v="2023-04-05T00:00:00"/>
    <s v="V0.3"/>
    <d v="2023-04-05T00:00:00"/>
    <n v="2"/>
    <n v="0.1"/>
    <n v="39.15"/>
    <m/>
    <x v="1"/>
  </r>
  <r>
    <x v="247"/>
    <x v="1"/>
    <s v="On_Prem"/>
    <s v="CARA Deploy Team"/>
    <x v="67"/>
    <x v="7"/>
    <x v="185"/>
    <s v="Configure the respoitority for the new NES - 20 minutes_x000a_Follow-up for the site details - Existing site - (domain controller details,SEP-GUP ,SCCM details) - 10 minutes_x000a_New NES configuration in automation studio- for only new site - 20 minutes_x000a_New NES configuation in CARA site ( Create new environment , setup agent assignment,setup parameter section,publish flow in new environment) - 20 minutes"/>
    <s v="Not Applicable"/>
    <s v="Not Applicable"/>
    <s v="Not Applicable"/>
    <s v="Per Deployment "/>
    <n v="21.75"/>
    <n v="1"/>
    <n v="21.75"/>
    <n v="2"/>
    <s v="Service Owner - Expert - manager follow this link "/>
    <s v="Not Applicable"/>
    <m/>
    <d v="2023-04-05T00:00:00"/>
    <s v="V0.3"/>
    <d v="2023-04-05T00:00:00"/>
    <n v="2"/>
    <n v="0.1"/>
    <n v="19.574999999999999"/>
    <m/>
    <x v="1"/>
  </r>
  <r>
    <x v="248"/>
    <x v="0"/>
    <s v="On_Prem"/>
    <s v="VMWare"/>
    <x v="31"/>
    <x v="8"/>
    <x v="186"/>
    <s v="L3 Coordination Activities ::_x000a_- Assessing the Applications_x000a_- Resource validation (ESXi, Network, Firewall, NFS etc.)_x000a__x000a_L3 Implementation Activities::_x000a_- Performance checking &amp; Verification of server after migration "/>
    <s v="Not Applicable"/>
    <s v="Not Applicable"/>
    <s v="Not Applicable"/>
    <s v="Per VM"/>
    <n v="21.75"/>
    <n v="5"/>
    <n v="108.75"/>
    <n v="7"/>
    <s v="Service Owner - Expert - manager follow this link "/>
    <s v="Not Applicable"/>
    <m/>
    <d v="2023-05-26T00:00:00"/>
    <s v="V0.3"/>
    <d v="2023-05-26T00:00:00"/>
    <n v="2"/>
    <n v="0.1"/>
    <n v="97.875"/>
    <m/>
    <x v="1"/>
  </r>
  <r>
    <x v="249"/>
    <x v="1"/>
    <s v="On_Prem"/>
    <s v="VMWare"/>
    <x v="31"/>
    <x v="7"/>
    <x v="187"/>
    <s v=" 1 Initial Racking/Cabling/Site Readiness  (to be done by DC (IMS))_x000a_2 Network Configuration (  all network plan, ip subnets etc. network information with PTC or  IFR team, Isolation IP's )_x000a_3 Provide CDP details to Network team_x000a_4 Firewall ENC requirements _x000a_5 Dell EDP details_x000a_6 Dell Design Meeting_x000a_7 Pre-exquisite checks forward &amp; reverse lookup DNS of node &amp; iDRAC,Witness,vCenter &amp; VXRAIL version check_x000a_8 Preaparation of technical specification document_x000a_9 Racking/Cabling/VXRAIL installtion _x000a_10 VXRAIL node to added on vCenter &amp; configuration _x000a_11 IQTC preparation_x000a__x000a_Preparation: 4 hrs_x000a_Technical discussion : 4 hrs_x000a_ TSD/EDP: 4 hrs_x000a_Additional Meetings : 2 hrs_x000a_Installation: 16 hrs_x000a_IQTC: 4 hrs"/>
    <s v="Not Applicable"/>
    <s v="Not Applicable"/>
    <s v="Not Applicable"/>
    <s v="Per VX rail "/>
    <n v="21.75"/>
    <n v="36"/>
    <n v="783"/>
    <n v="20"/>
    <s v="Service Owner - Expert - manager follow this link "/>
    <s v="Not Applicable"/>
    <m/>
    <d v="2023-05-26T00:00:00"/>
    <s v="V0.3"/>
    <d v="2023-05-26T00:00:00"/>
    <n v="2"/>
    <n v="0.1"/>
    <n v="704.7"/>
    <m/>
    <x v="1"/>
  </r>
  <r>
    <x v="250"/>
    <x v="1"/>
    <s v="On_Prem"/>
    <s v="CARA Deploy Team"/>
    <x v="67"/>
    <x v="7"/>
    <x v="188"/>
    <s v="Install the CARA agent on all the CARA servers to create it in windows and Linux _x000a_"/>
    <s v="Not Applicable"/>
    <s v="Not Applicable"/>
    <s v="Not Applicable"/>
    <s v="Per VM"/>
    <n v="21.75"/>
    <n v="0.2"/>
    <n v="4.3500000000000005"/>
    <n v="2"/>
    <s v="Service Owner - Expert - manager follow this link "/>
    <s v="Not Applicable"/>
    <m/>
    <d v="2023-05-26T00:00:00"/>
    <s v="V0.3"/>
    <d v="2023-05-26T00:00:00"/>
    <n v="2"/>
    <n v="0.1"/>
    <n v="3.9150000000000005"/>
    <m/>
    <x v="1"/>
  </r>
  <r>
    <x v="251"/>
    <x v="1"/>
    <s v="On_Prem"/>
    <s v="CARA Deploy Team"/>
    <x v="67"/>
    <x v="7"/>
    <x v="189"/>
    <s v="Validate the request (Pre-req validations)_x000a_Creation of Alogsec request_x000a_Creation of computer object_x000a_Creation of DNS entries_x000a_Synchronization "/>
    <s v="Not Applicable"/>
    <s v="Not Applicable"/>
    <s v="Not Applicable"/>
    <s v="per deployment  with mulitple VM by deployment "/>
    <n v="21.75"/>
    <n v="1"/>
    <n v="21.75"/>
    <n v="5"/>
    <s v="Service Owner - Expert - manager follow this link "/>
    <s v="Not Applicable"/>
    <m/>
    <d v="2023-05-26T00:00:00"/>
    <s v="V0.3"/>
    <d v="2023-05-26T00:00:00"/>
    <n v="2"/>
    <n v="0.1"/>
    <n v="19.574999999999999"/>
    <m/>
    <x v="1"/>
  </r>
  <r>
    <x v="252"/>
    <x v="1"/>
    <s v="On_Prem"/>
    <s v="CARA Deploy Team"/>
    <x v="67"/>
    <x v="7"/>
    <x v="190"/>
    <s v="Create a new environment_x000a_Publish the flow in new environment_x000a_Configure the agent assignment and parameters section in CARA"/>
    <s v="Not Applicable"/>
    <s v="Not Applicable"/>
    <s v="Not Applicable"/>
    <s v="Per Site"/>
    <n v="21.75"/>
    <n v="1"/>
    <n v="21.75"/>
    <n v="1"/>
    <s v="Service Owner - Expert - manager follow this link "/>
    <s v="Not Applicable"/>
    <m/>
    <d v="2023-05-26T00:00:00"/>
    <s v="V0.3"/>
    <d v="2023-05-26T00:00:00"/>
    <n v="2"/>
    <n v="0.1"/>
    <n v="19.574999999999999"/>
    <m/>
    <x v="1"/>
  </r>
  <r>
    <x v="253"/>
    <x v="1"/>
    <s v="On_Prem"/>
    <s v="CARA Deploy Team"/>
    <x v="67"/>
    <x v="7"/>
    <x v="191"/>
    <s v="Single VM instance _x000a_Validate Request (with all prerequiste details) - 30 mintues_x000a_Algosec Request Creation - 20 minutes ( Only ticket creation) _x000a_Algosec team will take minimum of 3 days to 5 days SLA to complete the request._x000a_DNS Entry creation for all servers  - 5 minutes ( only ticket creation)_x000a_Computer object for Windows Server - 10 mintues_x000a_Synchronization                              - 20 minutes ( existing site) _x000a_for new site it will additional time  maimum of 2 days because copy the contents from the central repo. ( almost nearly 140 GB of data) - We experimented last two times the internet bandwidth is only KB.  _x000a_xml Creation                                                     -  20 minutes ( Per VM)_x000a_Application/Infra Deployment            -  3 hours ( along with tools installation)_x000a_Approvals                                           - 30 minutes ( will be delayed in case if they haven't approved on time)_x000a_Post Deployment Steps               - 10 minutes ( Wave request)_x000a_Follow to close the request      - 10 minutes ( depends upon the confirmation from PTC and close the request. Tehcnical team will validate and confirm back to CARA team )_x000a_Connect with PTC (on call)        - Additional time required in case if the PTC doesn't provide proper info. (Follow up to get all the details)_x000a_"/>
    <s v="Not Applicable"/>
    <s v="Not Applicable"/>
    <s v="Not Applicable"/>
    <s v="Per RITM - Time for 2 VM to 10 VM per RITM "/>
    <n v="21.75"/>
    <n v="5"/>
    <n v="108.75"/>
    <s v="10 (Algosec 3 - 5 BD &amp; DNS- 3 BD)"/>
    <s v="Service Owner - Expert - manager follow this link "/>
    <s v="Not Applicable"/>
    <m/>
    <d v="2023-05-26T00:00:00"/>
    <s v="V0.3"/>
    <d v="2023-05-26T00:00:00"/>
    <n v="2"/>
    <n v="0.1"/>
    <n v="97.875"/>
    <m/>
    <x v="1"/>
  </r>
  <r>
    <x v="254"/>
    <x v="1"/>
    <s v="On_Prem"/>
    <s v="CARA Deploy Team"/>
    <x v="67"/>
    <x v="7"/>
    <x v="192"/>
    <s v="Create the applicatoin TSD_x000a_Approvals (tools and OS verificaiton) from corressponding team_x000a_Trigger the application deployment_x000a_Creation of IQTC and approvals_x000a_Post deployment steps ( Enroll the patch)_x000a_Compliance ( change model or change to be raised)_x000a_Sometime =&gt; Physical Server HANA need to be deploy _x000a_=&gt; In case of Troubleshooting included in this line"/>
    <s v="Not Applicable"/>
    <s v="Not Applicable"/>
    <s v="Not Applicable"/>
    <s v="Per deployment"/>
    <n v="21.75"/>
    <n v="2"/>
    <n v="43.5"/>
    <n v="2"/>
    <s v="Service Owner - Expert - manager follow this link "/>
    <s v="Not Applicable"/>
    <m/>
    <d v="2023-05-26T00:00:00"/>
    <s v="V0.3"/>
    <d v="2023-05-26T00:00:00"/>
    <n v="2"/>
    <n v="0.1"/>
    <n v="39.15"/>
    <m/>
    <x v="1"/>
  </r>
  <r>
    <x v="255"/>
    <x v="1"/>
    <s v="On_Prem"/>
    <s v="CARA Deploy Team"/>
    <x v="67"/>
    <x v="7"/>
    <x v="193"/>
    <s v="Create the applicatoin TSD_x000a_Approvals (tools and OS verificaiton) from corressponding team_x000a_Trigger the application deployment_x000a_Creation of IQTC and approvals_x000a_Post deployment steps ( Enroll the patch)_x000a_Compliance ( change model or change to be raised)_x000a_In case of Troubleshooting included in this line"/>
    <s v="Not Applicable"/>
    <s v="Not Applicable"/>
    <s v="Not Applicable"/>
    <s v="Per deployment"/>
    <n v="21.75"/>
    <n v="3.5"/>
    <n v="76.125"/>
    <n v="2"/>
    <s v="Service Owner - Expert - manager follow this link "/>
    <s v="Not Applicable"/>
    <m/>
    <d v="2023-04-05T00:00:00"/>
    <s v="V0.3"/>
    <d v="2023-04-05T00:00:00"/>
    <n v="2"/>
    <n v="0.1"/>
    <n v="68.512500000000003"/>
    <m/>
    <x v="1"/>
  </r>
  <r>
    <x v="256"/>
    <x v="0"/>
    <s v="On_Prem"/>
    <s v="Infra Monitoring"/>
    <x v="68"/>
    <x v="7"/>
    <x v="194"/>
    <s v="L3 Implementation Activities:_x000a_- Installation/Upgradation and configuration of Splunk Instance ( Search head, Indexer, Deployment server and Heavy forwarder) as per the requirement._x000a_- Installation/Upgradation and configuration of Splunk base apps based on requirement (ex : AWS / Commvolt)_x000a_- Work on the scripts part as per the requirement_x000a_- Work on complex SPL queries for the dashboards_x000a_- Work on the summary Indexes and append and modify the queries_x000a_- Implementing the Script, Text file and log file monitoring wherever its is required"/>
    <s v="Not Applicable"/>
    <s v="Not Applicable"/>
    <s v="Not Applicable"/>
    <s v="Per RITM Max 20 CI entries"/>
    <n v="21.75"/>
    <n v="7.2"/>
    <n v="156.6"/>
    <n v="7"/>
    <s v="Service Owner - Expert - manager follow this link "/>
    <s v="Not Applicable"/>
    <m/>
    <d v="2023-06-09T00:00:00"/>
    <s v="V0.4"/>
    <d v="2023-06-09T00:00:00"/>
    <n v="2"/>
    <n v="0.1"/>
    <n v="140.94"/>
    <m/>
    <x v="1"/>
  </r>
  <r>
    <x v="257"/>
    <x v="0"/>
    <s v="On_Prem"/>
    <s v="Infra Monitoring"/>
    <x v="68"/>
    <x v="7"/>
    <x v="195"/>
    <s v="L2 Implementation Activities:_x000a_- Splunk Agent upgrade when it is not supported_x000a_- Upgrade the *nix universal forwarder_x000a_- Upgrade the Windows universal forwarder_x000a_- Splunk Agent package downlaod and configure _x000a_- Validate the version of the Splunk Agent_x000a_- Validate the data if we are receiving like earlier  "/>
    <s v="Not Applicable"/>
    <s v="Not Applicable"/>
    <s v="Not Applicable"/>
    <s v="Per RITM Max 20 CI entries"/>
    <n v="21.75"/>
    <n v="2"/>
    <n v="43.5"/>
    <n v="7"/>
    <s v="Service Owner - Expert - manager follow this link "/>
    <s v="Not Applicable"/>
    <m/>
    <d v="2023-06-09T00:00:00"/>
    <s v="V0.4"/>
    <d v="2023-06-09T00:00:00"/>
    <n v="2"/>
    <n v="0.1"/>
    <n v="39.15"/>
    <m/>
    <x v="1"/>
  </r>
  <r>
    <x v="258"/>
    <x v="0"/>
    <s v="Cloud"/>
    <s v="AWS"/>
    <x v="62"/>
    <x v="0"/>
    <x v="196"/>
    <s v="1. Need to check the RITM and find out the details_x000a_2.  Login AWS Console and naviagte Route53 , add or update the RecordSet in  hostedZone."/>
    <s v="DNS Record Update "/>
    <s v="https://sanofiservices.service-now.com/onesupport?id=sc_cat_item_guide&amp;table=sc_cat_item&amp;sys_id=ec57c51b1bd3fb8017d3fddacd4bcb9b"/>
    <s v="Not Applicable"/>
    <s v="Per request"/>
    <n v="21.75"/>
    <s v="IMS"/>
    <s v="IMS"/>
    <n v="3"/>
    <s v="Service Owner - Expert - manager follow this link "/>
    <s v="Not Applicable"/>
    <m/>
    <d v="2023-06-09T00:00:00"/>
    <s v="V0.4"/>
    <d v="2023-06-09T00:00:00"/>
    <n v="2"/>
    <n v="0.1"/>
    <s v="IMS"/>
    <m/>
    <x v="0"/>
  </r>
  <r>
    <x v="259"/>
    <x v="0"/>
    <s v="On_Prem"/>
    <s v="Infra Monitoring"/>
    <x v="68"/>
    <x v="7"/>
    <x v="197"/>
    <s v="L3 Implementation Activities:_x000a_- Work on the scripts part as per the requirement_x000a_- Work on complex SPL queries for the dashboards_x000a_- Work on the summary Indexes and append and modify the queries_x000a_- Troubleshoot the Splunk Instances_x000a_- Create the alerts as per the requirement_x000a_- create reports and dashboards _x000a_- Work on correlation queries for Service now Incident creation. _x000a_- Work on Complex issues by raising with the Splunk vendor cases"/>
    <s v="Not Applicable"/>
    <s v="Not Applicable"/>
    <s v="Not Applicable"/>
    <s v="Per RITM Max 20 CI entries"/>
    <n v="21.75"/>
    <n v="2"/>
    <n v="43.5"/>
    <n v="7"/>
    <s v="Service Owner - Expert - manager follow this link "/>
    <s v="Not Applicable"/>
    <m/>
    <d v="2023-06-09T00:00:00"/>
    <s v="V0.4"/>
    <d v="2023-06-09T00:00:00"/>
    <n v="2"/>
    <n v="0.1"/>
    <n v="39.15"/>
    <m/>
    <x v="1"/>
  </r>
  <r>
    <x v="260"/>
    <x v="0"/>
    <s v="On_Prem"/>
    <s v="Infra Monitoring"/>
    <x v="68"/>
    <x v="10"/>
    <x v="198"/>
    <s v="L3 Implementation Activities:_x000a_- Installation configuration of Splunk base apps and Addon based on requirement (ex : AWS / Commvolt)_x000a_- Syslog integaration_x000a_- Snmp integration_x000a_- HEC integration_x000a_- Custom app Integarion_x000a_- Implementing the Script, Text file and log file monitoring wherever its is required._x000a_- Create the alerts as per the requirement_x000a_- create reports and dashboards _x000a_- Work on correlation queries for Service now Incident creation"/>
    <s v="Not Applicable"/>
    <s v="Not Applicable"/>
    <s v="Not Applicable"/>
    <s v="Per RITM Max 20 CI entries"/>
    <n v="21.75"/>
    <n v="6"/>
    <n v="130.5"/>
    <n v="7"/>
    <s v="Service Owner - Expert - manager follow this link "/>
    <s v="Not Applicable"/>
    <m/>
    <d v="2023-06-09T00:00:00"/>
    <s v="V0.4"/>
    <d v="2023-06-09T00:00:00"/>
    <n v="2"/>
    <n v="0.1"/>
    <n v="117.45"/>
    <m/>
    <x v="1"/>
  </r>
  <r>
    <x v="261"/>
    <x v="0"/>
    <s v="On_Prem"/>
    <s v="Infra Monitoring"/>
    <x v="68"/>
    <x v="5"/>
    <x v="199"/>
    <s v="L3 Implementation Activities_x000a_Remove from existing configuration _x000a_Uninstallation of Splunk application.:"/>
    <s v="Not Applicable"/>
    <s v="Not Applicable"/>
    <s v="Not Applicable"/>
    <s v="Per RITM Max 20 CI entries"/>
    <n v="21.75"/>
    <n v="3"/>
    <n v="65.25"/>
    <n v="7"/>
    <s v="Service Owner - Expert - manager follow this link "/>
    <s v="Not Applicable"/>
    <m/>
    <d v="2023-06-09T00:00:00"/>
    <s v="V0.4"/>
    <d v="2023-06-09T00:00:00"/>
    <n v="2"/>
    <n v="0.1"/>
    <n v="58.725000000000001"/>
    <m/>
    <x v="1"/>
  </r>
  <r>
    <x v="262"/>
    <x v="0"/>
    <s v="Cloud"/>
    <s v="AWS"/>
    <x v="62"/>
    <x v="0"/>
    <x v="200"/>
    <s v="1. Need to check the RITM and find out the details_x000a_2.  Json will be shared by Application Team _x000a_3. Approved by Sanofi Architecture_x000a_4. Implement it on IAM user policy or Role manually via AWS Console , only IAM role along with trust policy will be provided by Sanofi Architecture"/>
    <s v="IAM Role and/or Policy Request"/>
    <s v="https://sanofiservices.service-now.com/onesupport?id=sc_cat_item_guide&amp;table=sc_cat_item&amp;sys_id=ec57c51b1bd3fb8017d3fddacd4bcb9b"/>
    <s v="Not Applicable"/>
    <s v="Per request"/>
    <n v="21.75"/>
    <s v="IMS"/>
    <s v="IMS"/>
    <n v="3"/>
    <s v="Service Owner - Expert - manager follow this link "/>
    <s v="Not Applicable"/>
    <m/>
    <d v="2023-06-09T00:00:00"/>
    <s v="V0.4"/>
    <d v="2023-06-09T00:00:00"/>
    <n v="2"/>
    <n v="0.1"/>
    <s v="IMS"/>
    <m/>
    <x v="0"/>
  </r>
  <r>
    <x v="263"/>
    <x v="0"/>
    <s v="Cloud"/>
    <s v="AWS"/>
    <x v="62"/>
    <x v="0"/>
    <x v="201"/>
    <s v="1. Need to check the RITM and find out the details_x000a_2. Approved by Sanofi Architecture_x000a_3. Login to AWS Console_x000a_4. Navigate the IAM service_x000a_5. Modify or remove the IAM users"/>
    <s v="MaNot Applicablege IAM Users "/>
    <s v="https://sanofiservices.service-now.com/onesupport?id=sc_cat_item_guide&amp;table=sc_cat_item&amp;sys_id=ec57c51b1bd3fb8017d3fddacd4bcb9b"/>
    <s v="Not Applicable"/>
    <s v="Per request"/>
    <n v="21.75"/>
    <s v="IMS"/>
    <s v="IMS"/>
    <n v="3"/>
    <s v="Service Owner - Expert - manager follow this link "/>
    <s v="Not Applicable"/>
    <m/>
    <d v="2023-06-09T00:00:00"/>
    <s v="V0.4"/>
    <d v="2023-06-09T00:00:00"/>
    <n v="2"/>
    <n v="0.1"/>
    <s v="IMS"/>
    <m/>
    <x v="0"/>
  </r>
  <r>
    <x v="264"/>
    <x v="0"/>
    <s v="Cloud"/>
    <s v="AWS"/>
    <x v="62"/>
    <x v="0"/>
    <x v="202"/>
    <s v="1. Need to check the RITM and find out the details_x000a_2.  Json will be shared by Application Team _x000a_3. Approved by Sanofi Architecture_x000a_4. Implement it on S3 bucket policy manually via AWS Console"/>
    <s v="S3 Bucket Policy Update"/>
    <s v="https://sanofiservices.service-now.com/onesupport?id=sc_cat_item_guide&amp;table=sc_cat_item&amp;sys_id=ec57c51b1bd3fb8017d3fddacd4bcb9b"/>
    <s v="Not Applicable"/>
    <s v="Per request"/>
    <n v="21.75"/>
    <s v="IMS"/>
    <s v="IMS"/>
    <n v="3"/>
    <s v="Service Owner - Expert - manager follow this link "/>
    <s v="Not Applicable"/>
    <m/>
    <d v="2023-06-09T00:00:00"/>
    <s v="V0.4"/>
    <d v="2023-06-09T00:00:00"/>
    <n v="2"/>
    <n v="0.1"/>
    <s v="IMS"/>
    <m/>
    <x v="0"/>
  </r>
  <r>
    <x v="265"/>
    <x v="0"/>
    <s v="Cloud"/>
    <s v="GCP"/>
    <x v="61"/>
    <x v="7"/>
    <x v="203"/>
    <s v="1. Need to check the RITM and find out the details_x000a_2. Need to check what DNS zones needs to be created _x000a_3. Identify the required terraform module to be used for DNS zones_x000a_4. Login to SAML server and clone the pipeline_x000a_5. Modify the terragrunt file as per the requirement_x000a_5. Do the git commit and push_x000a_6. Check the pipeline if it has been run and doing the required task_x000a_7. Create the merge request if everything is fine in step 6._x000a_8. Verify or validate the pipeline and/or console to see if the required api has been activated"/>
    <s v="Not Applicable"/>
    <s v="Not Applicable"/>
    <s v="Not Applicable"/>
    <s v="Per project"/>
    <n v="21.75"/>
    <n v="4"/>
    <n v="87"/>
    <n v="3"/>
    <s v="Service Owner - Expert - manager follow this link "/>
    <s v="Not Applicable"/>
    <m/>
    <d v="2023-06-09T00:00:00"/>
    <s v="V0.4"/>
    <d v="2023-06-09T00:00:00"/>
    <n v="2"/>
    <n v="0.1"/>
    <n v="78.3"/>
    <m/>
    <x v="1"/>
  </r>
  <r>
    <x v="266"/>
    <x v="0"/>
    <s v="Cloud"/>
    <s v="AWS"/>
    <x v="62"/>
    <x v="0"/>
    <x v="204"/>
    <s v="1. Need to check the RITM and find out the details_x000a_2 . Approved by Sanofi Architecture_x000a_3.  Login to AWS Console_x000a_4. Navigate the Service EC2, under search Security Group_x000a_5. Update Security Group based on the RITM like deletion of port, delete the security group"/>
    <s v="Security Group Update "/>
    <s v="https://sanofiservices.service-now.com/onesupport?id=sc_cat_item_guide&amp;table=sc_cat_item&amp;sys_id=ec57c51b1bd3fb8017d3fddacd4bcb9b"/>
    <s v="Not Applicable"/>
    <s v="Per request"/>
    <n v="21.75"/>
    <s v="IMS"/>
    <s v="IMS"/>
    <n v="3"/>
    <s v="Service Owner - Expert - manager follow this link "/>
    <s v="Not Applicable"/>
    <m/>
    <d v="2023-06-09T00:00:00"/>
    <s v="V0.4"/>
    <d v="2023-06-09T00:00:00"/>
    <n v="2"/>
    <n v="0.1"/>
    <s v="IMS"/>
    <m/>
    <x v="0"/>
  </r>
  <r>
    <x v="267"/>
    <x v="0"/>
    <s v="Cloud"/>
    <s v="AWS"/>
    <x v="62"/>
    <x v="0"/>
    <x v="205"/>
    <s v="1. Need to check the RITM and find out the details_x000a_2. Empty the S3 bucket manually to delete using terraform_x000a_3. Identify the required terraform module and run terragrunt destroy command_x000a_4. VPC Peering deletion"/>
    <s v="AWS Account Demmission"/>
    <s v="https://sanofiservices.service-now.com/onesupport?id=sc_cat_item_guide&amp;table=sc_cat_item&amp;sys_id=ec57c51b1bd3fb8017d3fddacd4bcb9b"/>
    <s v="Not Applicable"/>
    <s v="Per request"/>
    <n v="21.75"/>
    <s v="IMS"/>
    <s v="IMS"/>
    <n v="5"/>
    <s v="Service Owner - Expert - manager follow this link "/>
    <s v="Not Applicable"/>
    <m/>
    <d v="2023-06-09T00:00:00"/>
    <s v="V0.4"/>
    <d v="2023-06-09T00:00:00"/>
    <n v="2"/>
    <n v="0.1"/>
    <s v="IMS"/>
    <m/>
    <x v="0"/>
  </r>
  <r>
    <x v="268"/>
    <x v="0"/>
    <s v="Cloud"/>
    <s v="AWS"/>
    <x v="62"/>
    <x v="0"/>
    <x v="206"/>
    <s v="1. Need to check the RITM and find out the details_x000a_2. Approved by Sanofi Architecture_x000a_3.  We have to generate Domain Certificate for AMER region using terraform _x000a_4. Non AMER region, login to AWS Console and go to respective Region and generate the ACM certificate_x000a_5. Send the mail to Sanofi DNS Team to validate_x000a_6. Once it is updated , we update the config file and apply terraform"/>
    <s v="Internet Facing Service Deployment "/>
    <s v="https://sanofiservices.service-now.com/onesupport?id=sc_cat_item_guide&amp;table=sc_cat_item&amp;sys_id=ec57c51b1bd3fb8017d3fddacd4bcb9b"/>
    <s v="Not Applicable"/>
    <s v="Per request"/>
    <n v="21.75"/>
    <s v="IMS"/>
    <s v="IMS"/>
    <n v="5"/>
    <s v="Service Owner - Expert - manager follow this link "/>
    <s v="Not Applicable"/>
    <m/>
    <d v="2023-06-09T00:00:00"/>
    <s v="V0.4"/>
    <d v="2023-06-09T00:00:00"/>
    <n v="2"/>
    <n v="0.1"/>
    <s v="IMS"/>
    <m/>
    <x v="0"/>
  </r>
  <r>
    <x v="269"/>
    <x v="0"/>
    <s v="Cloud"/>
    <s v="GCP"/>
    <x v="61"/>
    <x v="7"/>
    <x v="207"/>
    <s v="1. Need to check the RITM and find out the details_x000a_2. Create standard change for project commission request_x000a_3. Check if default AD-groups have been created or not_x000a_4. Raise and IPAM request to get the CIDR range from network team as per requirement_x000a_5. Login to the GCP console to get the details of the project folder location_x000a_6. Identify the required terraform modules to be used for folder creation, project creation and other subsequent requirement in the request_x000a_7. Login to SAML server and clone the respective pipelines_x000a_8. Modify the each terragrunt file as per the requirement_x000a_9. Do the git commit and push_x000a_10. Check the pipeline if it has been run and doing the required task_x000a_11. Create the merge request if everything is fine in step 6._x000a_12. Verify or validate the pipeline and/or console to see if the project has been created with the given details"/>
    <s v="Not Applicable"/>
    <s v="Not Applicable"/>
    <s v="Not Applicable"/>
    <s v="Per project"/>
    <n v="21.75"/>
    <n v="8"/>
    <n v="174"/>
    <n v="5"/>
    <s v="Service Owner - Expert - manager follow this link "/>
    <s v="Not Applicable"/>
    <m/>
    <d v="2023-06-09T00:00:00"/>
    <s v="V0.4"/>
    <d v="2023-06-09T00:00:00"/>
    <n v="2"/>
    <n v="0.1"/>
    <n v="156.6"/>
    <m/>
    <x v="1"/>
  </r>
  <r>
    <x v="270"/>
    <x v="0"/>
    <s v="Cloud"/>
    <s v="GCP"/>
    <x v="61"/>
    <x v="0"/>
    <x v="208"/>
    <s v="1. Need to check the RITM and find out the details_x000a_2. Need to check what is the requirement for IAM roles to be created/modified/deleted_x000a_3. Identify the required terraform module to be used for IAM roles from custom-iam, project-iam and custom-iam-sa_x000a_4. Login to SAML server and clode the pipeline_x000a_5. Modify the terragrunt file as per the requirement_x000a_5. Do the git commit and push_x000a_6. Check the pipeline if it has been run and doing the required task_x000a_7. Create the merge request if everything is fine in step 6._x000a_8. Verify or validate the pipeline and/or console to see if the required IAM roles has been created/modified/deleted"/>
    <s v="Not Applicable"/>
    <s v="Not Applicable"/>
    <s v="Not Applicable"/>
    <s v="Per project"/>
    <n v="21.75"/>
    <s v="IMS"/>
    <s v="IMS"/>
    <n v="3"/>
    <s v="Service Owner - Expert - manager follow this link "/>
    <s v="Not Applicable"/>
    <m/>
    <d v="2023-06-09T00:00:00"/>
    <s v="V0.4"/>
    <d v="2023-06-09T00:00:00"/>
    <n v="2"/>
    <n v="0.1"/>
    <s v="IMS"/>
    <m/>
    <x v="0"/>
  </r>
  <r>
    <x v="271"/>
    <x v="0"/>
    <s v="Cloud"/>
    <s v="GCP"/>
    <x v="61"/>
    <x v="5"/>
    <x v="209"/>
    <s v="1. Need to check the RITM and find out the details about the project_x000a_2. Disable the billing for the project and put it under observation for next 30 days for scream test_x000a_3. After scream test Create standard change for project decommission_x000a_4. Follow the steps as per standard change to get windows/unix/sql instances decommissioned or removed_x000a_5. Delete remove every other resource like storage buckets etc which can prevent from project being decommissioned_x000a_6. Identify the relevant terraform module to be used for project decommission._x000a_7. Login to SAML server and clone the respective pipelines_x000a_8. Modify the each terragrunt file as per the requirement_x000a_9. Do the git commit and push_x000a_10. Check the pipeline if it has been run and doing the required task_x000a_11. Create the merge request if everything is fine in step 6._x000a_12. Verify or validate the pipeline and/or console to see if the project has been decommissioned and repository has been updated"/>
    <s v="Not Applicable"/>
    <s v="Not Applicable"/>
    <s v="Not Applicable"/>
    <s v="Per project"/>
    <n v="21.75"/>
    <s v="IMS"/>
    <s v="IMS"/>
    <n v="45"/>
    <s v="Service Owner - Expert - manager follow this link "/>
    <s v="Not Applicable"/>
    <m/>
    <d v="2023-06-09T00:00:00"/>
    <s v="V0.4"/>
    <d v="2023-06-09T00:00:00"/>
    <n v="2"/>
    <n v="0.1"/>
    <s v="IMS"/>
    <m/>
    <x v="0"/>
  </r>
  <r>
    <x v="272"/>
    <x v="0"/>
    <s v="Cloud"/>
    <s v="GCP"/>
    <x v="61"/>
    <x v="7"/>
    <x v="210"/>
    <s v="1. Need to check the RITM and find out the details_x000a_2. Need to check what is the requirement for VPC network to be created/modified/deleted_x000a_3. Identify the required terraform module to be used for VPC _x000a_4. Login to SAML server and clode the pipeline_x000a_5. Modify the terragrunt file as per the requirement_x000a_5. Do the git commit and push_x000a_6. Check the pipeline if it has been run and doing the required task_x000a_7. Create the merge request if everything is fine in step 6._x000a_8. Verify or validate the pipeline and/or console to see if the required change has been completed"/>
    <s v="Not Applicable"/>
    <s v="Not Applicable"/>
    <s v="Not Applicable"/>
    <s v="Per project"/>
    <n v="21.75"/>
    <n v="6"/>
    <n v="130.5"/>
    <n v="3"/>
    <s v="Service Owner - Expert - manager follow this link "/>
    <s v="Not Applicable"/>
    <m/>
    <d v="2023-06-09T00:00:00"/>
    <s v="V0.4"/>
    <d v="2023-06-09T00:00:00"/>
    <n v="2"/>
    <n v="0.1"/>
    <n v="117.45"/>
    <m/>
    <x v="1"/>
  </r>
  <r>
    <x v="273"/>
    <x v="0"/>
    <s v="Cloud"/>
    <s v="GCP"/>
    <x v="61"/>
    <x v="0"/>
    <x v="211"/>
    <s v="1. Need to check the RITM and find out the details_x000a_2. Need to check what is the requirement for security policy_x000a_3. Get it reviewed with service owner or security team to take their concurrence_x000a_4. Identify the required terraform module to be used for changes in security policy like organization-constraints_x000a_5. Login to SAML server and clode the pipeline_x000a_6. Modify the terragrunt file as per the requirement_x000a_7. Do the git commit and push_x000a_8. Check the pipeline if it has been run and doing the required task_x000a_9. Create the merge request if everything is fine in step 6._x000a_10. Verify or validate the pipeline and/or console to see if the required IAM roles has been created/modified/deleted_x000a_11. Revert the policy change in due course if it is a temporary requirement for the project"/>
    <s v="Not Applicable"/>
    <s v="Not Applicable"/>
    <s v="Not Applicable"/>
    <s v="Per project / Global change"/>
    <n v="21.75"/>
    <s v="IMS"/>
    <s v="IMS"/>
    <n v="3"/>
    <s v="Service Owner - Expert - manager follow this link "/>
    <s v="Not Applicable"/>
    <m/>
    <d v="2023-06-09T00:00:00"/>
    <s v="V0.4"/>
    <d v="2023-06-09T00:00:00"/>
    <n v="2"/>
    <n v="0.1"/>
    <s v="IMS"/>
    <m/>
    <x v="0"/>
  </r>
  <r>
    <x v="274"/>
    <x v="0"/>
    <s v="Cloud"/>
    <s v="GCP"/>
    <x v="61"/>
    <x v="7"/>
    <x v="212"/>
    <s v="1. Need to check the RITM and find out the details_x000a_2. Need to check what is the requirement for VPN to be created/modified/deleted_x000a_3. Identify the required terraform module to be used for VPN _x000a_4. Login to SAML server and clone the pipeline_x000a_5. Modify the terragrunt file as per the requirement_x000a_5. Do the git commit and push_x000a_6. Check the pipeline if it has been run and doing the required task_x000a_7. Create the merge request if everything is fine in step 6._x000a_8. Verify or validate the pipeline and/or console to see if the required change has been completed"/>
    <s v="Not Applicable"/>
    <s v="Not Applicable"/>
    <s v="Not Applicable"/>
    <s v="Per project"/>
    <n v="21.75"/>
    <n v="6"/>
    <n v="130.5"/>
    <n v="3"/>
    <s v="Service Owner - Expert - manager follow this link "/>
    <s v="Not Applicable"/>
    <m/>
    <d v="2023-06-09T00:00:00"/>
    <s v="V0.4"/>
    <d v="2023-06-09T00:00:00"/>
    <n v="2"/>
    <n v="0.1"/>
    <n v="117.45"/>
    <m/>
    <x v="1"/>
  </r>
  <r>
    <x v="275"/>
    <x v="0"/>
    <s v="Cloud"/>
    <s v="GCP"/>
    <x v="61"/>
    <x v="0"/>
    <x v="213"/>
    <s v="1. Need to check the RITM and find out the details_x000a_2. Need to check what is the requirement for VPC network to be created/modified/deleted_x000a_3. Identify the required terraform module to be used for VPC _x000a_4. Login to SAML server and clode the pipeline_x000a_5. Modify the terragrunt file as per the requirement_x000a_5. Do the git commit and push_x000a_6. Check the pipeline if it has been run and doing the required task_x000a_7. Create the merge request if everything is fine in step 6._x000a_8. Verify or validate the pipeline and/or console to see if the required change has been completed"/>
    <s v="Not Applicable"/>
    <s v="Not Applicable"/>
    <s v="Not Applicable"/>
    <s v="Per project"/>
    <n v="21.75"/>
    <s v="IMS"/>
    <s v="IMS"/>
    <n v="3"/>
    <s v="Service Owner - Expert - manager follow this link "/>
    <s v="Not Applicable"/>
    <m/>
    <d v="2023-06-09T00:00:00"/>
    <s v="V0.4"/>
    <d v="2023-06-09T00:00:00"/>
    <n v="2"/>
    <n v="0.1"/>
    <s v="IMS"/>
    <m/>
    <x v="0"/>
  </r>
  <r>
    <x v="276"/>
    <x v="0"/>
    <s v="Cloud"/>
    <s v="GCP"/>
    <x v="61"/>
    <x v="0"/>
    <x v="214"/>
    <s v="1. Need to check the RITM and find out the details_x000a_2. Need to check what is the requirement for webproxy change _x000a_3. Identify the required terraform module to be used for webproxy _x000a_4. Login to SAML server and clone the pipeline_x000a_5. Modify the terragrunt file as per the requirement_x000a_5. Do the git commit and push_x000a_6. Check the pipeline if it has been run and doing the required task_x000a_7. Create the merge request if everything is fine in step 6._x000a_8. Verify or validate the pipeline and/or console to see if the required change has been completed"/>
    <s v="Not Applicable"/>
    <s v="Not Applicable"/>
    <s v="Not Applicable"/>
    <s v="Per project"/>
    <n v="21.75"/>
    <s v="IMS"/>
    <s v="IMS"/>
    <n v="3"/>
    <s v="Service Owner - Expert - manager follow this link "/>
    <s v="Not Applicable"/>
    <m/>
    <d v="2023-06-09T00:00:00"/>
    <s v="V0.4"/>
    <d v="2023-06-09T00:00:00"/>
    <n v="2"/>
    <n v="0.1"/>
    <s v="IMS"/>
    <m/>
    <x v="0"/>
  </r>
  <r>
    <x v="277"/>
    <x v="0"/>
    <s v="On_Prem"/>
    <s v="Infra Monitoring"/>
    <x v="68"/>
    <x v="0"/>
    <x v="215"/>
    <s v="L2 Implementation Activities:_x000a_- Splunk Agent upgrade when it is not supported_x000a_- Upgrade the *nix universal forwarder_x000a_- Upgrade the Windows universal forwarder_x000a_- Splunk Agent package downlaod and configure _x000a_- Validate the version of the Splunk Agent_x000a_- Validate the data if we are receiving like earlier  "/>
    <s v="Not Applicable"/>
    <s v="Not Applicable"/>
    <s v="Not Applicable"/>
    <s v="Per RITM Max 20 CI entries"/>
    <n v="21.75"/>
    <s v="IMS"/>
    <s v="IMS"/>
    <n v="7"/>
    <s v="Service Owner - Expert - manager follow this link "/>
    <s v="Not Applicable"/>
    <m/>
    <d v="2023-06-09T00:00:00"/>
    <s v="V0.4"/>
    <d v="2023-06-09T00:00:00"/>
    <n v="2"/>
    <n v="0.1"/>
    <s v="IMS"/>
    <m/>
    <x v="0"/>
  </r>
  <r>
    <x v="278"/>
    <x v="0"/>
    <s v="Cloud"/>
    <s v="AWS"/>
    <x v="62"/>
    <x v="7"/>
    <x v="216"/>
    <s v="1. User Creation (Postgress, My SQL, MS SQL &amp; Oracle)"/>
    <s v="Data User account MaNot Applicablegement "/>
    <s v="https://sanofiservices.service-now.com/onesupport?id=sc_cat_item_guide&amp;table=sc_cat_item&amp;sys_id=ec57c51b1bd3fb8017d3fddacd4bcb9b"/>
    <s v="Not Applicable"/>
    <s v="Per request"/>
    <n v="21.75"/>
    <n v="0.5"/>
    <n v="10.875"/>
    <n v="3"/>
    <s v="Service Owner - Expert - manager follow this link "/>
    <s v="Not Applicable"/>
    <m/>
    <d v="2023-06-09T00:00:00"/>
    <s v="V0.4"/>
    <d v="2023-06-09T00:00:00"/>
    <n v="2"/>
    <n v="0.1"/>
    <n v="9.7874999999999996"/>
    <m/>
    <x v="1"/>
  </r>
  <r>
    <x v="279"/>
    <x v="0"/>
    <s v="On_Prem"/>
    <s v="Infra Monitoring"/>
    <x v="68"/>
    <x v="5"/>
    <x v="217"/>
    <s v="L3 Implementation Activities_x000a_Remove from existing configuration _x000a_Uninstallation of Splunk application.:"/>
    <s v="Not Applicable"/>
    <s v="Not Applicable"/>
    <s v="Not Applicable"/>
    <s v="Per RITM Max 20 CI entries"/>
    <n v="21.75"/>
    <s v="IMS"/>
    <s v="IMS"/>
    <n v="7"/>
    <s v="Service Owner - Expert - manager follow this link "/>
    <s v="Not Applicable"/>
    <m/>
    <d v="2023-06-09T00:00:00"/>
    <s v="V0.4"/>
    <d v="2023-06-09T00:00:00"/>
    <n v="2"/>
    <n v="0.1"/>
    <s v="IMS"/>
    <m/>
    <x v="0"/>
  </r>
  <r>
    <x v="280"/>
    <x v="0"/>
    <s v="Cloud"/>
    <s v="GCP"/>
    <x v="61"/>
    <x v="0"/>
    <x v="218"/>
    <s v="1. Need to check the RITM and find out the details_x000a_2. Need to check which APIs needs to be enabled _x000a_3. Identify the required terraform module to be used for API activation_x000a_4. Login to SAML server and clode the pipeline_x000a_5. Modify the terragrunt file as per the requirement_x000a_5. Do the git commit and push_x000a_6. Check the pipeline if it has been run and doing the required task_x000a_7. Create the merge request if everything is fine in step 6._x000a_8. Verify or validate the pipeline and/or console to see if the required api has been activated"/>
    <s v="Not Applicable"/>
    <s v="Not Applicable"/>
    <s v="Not Applicable"/>
    <s v="Per project / Global change"/>
    <n v="21.75"/>
    <s v="IMS"/>
    <s v="IMS"/>
    <n v="3"/>
    <s v="Service Owner - Expert - manager follow this link "/>
    <s v="Not Applicable"/>
    <m/>
    <d v="2023-06-09T00:00:00"/>
    <s v="V0.4"/>
    <d v="2023-06-09T00:00:00"/>
    <n v="2"/>
    <n v="0.1"/>
    <s v="IMS"/>
    <m/>
    <x v="0"/>
  </r>
  <r>
    <x v="281"/>
    <x v="0"/>
    <s v="Cloud"/>
    <s v="AWS"/>
    <x v="62"/>
    <x v="7"/>
    <x v="219"/>
    <s v="1. Need to check the RITM and find out the details_x000a_2. Approved by Sanofi Architecture_x000a_3. Login to AWS Console_x000a_4. Navigate the IAM service_x000a_5. Create the IAM users"/>
    <s v="Create IAM Users "/>
    <s v="https://sanofiservices.service-now.com/onesupport?id=sc_cat_item_guide&amp;table=sc_cat_item&amp;sys_id=ec57c51b1bd3fb8017d3fddacd4bcb9b"/>
    <s v="Not Applicable"/>
    <s v="Per request"/>
    <n v="21.75"/>
    <n v="1"/>
    <n v="21.75"/>
    <n v="3"/>
    <s v="Service Owner - Expert - manager follow this link "/>
    <s v="Not Applicable"/>
    <m/>
    <d v="2023-06-09T00:00:00"/>
    <s v="V0.4"/>
    <d v="2023-06-09T00:00:00"/>
    <n v="2"/>
    <n v="0.1"/>
    <n v="19.574999999999999"/>
    <m/>
    <x v="1"/>
  </r>
  <r>
    <x v="282"/>
    <x v="0"/>
    <s v="Cloud"/>
    <s v="GCP"/>
    <x v="61"/>
    <x v="0"/>
    <x v="220"/>
    <s v="1. Need to check the RITM and find out the details_x000a_2. Need to check which APIs needs to be enabled _x000a_3. Identify the required terraform module to be used for API activation_x000a_4. Login to SAML server and clode the pipeline_x000a_5. Modify the terragrunt file as per the requirement_x000a_5. Do the git commit and push_x000a_6. Check the pipeline if it has been run and doing the required task_x000a_7. Create the merge request if everything is fine in step 6._x000a_8. Verify or validate the pipeline and/or console to see if the required api has been activated"/>
    <s v="Not Applicable"/>
    <s v="Not Applicable"/>
    <s v="Not Applicable"/>
    <s v="Per project"/>
    <n v="21.75"/>
    <s v="IMS"/>
    <s v="IMS"/>
    <n v="3"/>
    <s v="Service Owner - Expert - manager follow this link "/>
    <s v="Not Applicable"/>
    <m/>
    <d v="2023-06-09T00:00:00"/>
    <s v="V0.4"/>
    <d v="2023-06-09T00:00:00"/>
    <n v="2"/>
    <n v="0.1"/>
    <s v="IMS"/>
    <m/>
    <x v="0"/>
  </r>
  <r>
    <x v="283"/>
    <x v="0"/>
    <s v="Cloud"/>
    <s v="GCP"/>
    <x v="61"/>
    <x v="0"/>
    <x v="221"/>
    <s v="1. Need to check the RITM and find out the details_x000a_2. Need to check what DNS zones needs to be created _x000a_3. Identify the required terraform module to be used for DNS zones_x000a_4. Login to SAML server and clone the pipeline_x000a_5. Modify the terragrunt file as per the requirement_x000a_5. Do the git commit and push_x000a_6. Check the pipeline if it has been run and doing the required task_x000a_7. Create the merge request if everything is fine in step 6._x000a_8. Verify or validate the pipeline and/or console to see if the required api has been activated"/>
    <s v="Not Applicable"/>
    <s v="Not Applicable"/>
    <s v="Not Applicable"/>
    <s v="Per project"/>
    <n v="21.75"/>
    <s v="IMS"/>
    <s v="IMS"/>
    <n v="3"/>
    <s v="Service Owner - Expert - manager follow this link "/>
    <s v="Not Applicable"/>
    <m/>
    <d v="2023-06-09T00:00:00"/>
    <s v="V0.4"/>
    <d v="2023-06-09T00:00:00"/>
    <n v="2"/>
    <n v="0.1"/>
    <s v="IMS"/>
    <m/>
    <x v="0"/>
  </r>
  <r>
    <x v="284"/>
    <x v="0"/>
    <s v="Cloud"/>
    <s v="GCP"/>
    <x v="61"/>
    <x v="0"/>
    <x v="222"/>
    <s v="1. Need to check the RITM and find out the details_x000a_2. Need to check what firewal rules needs to be created/modified/deleted_x000a_3. Identify the required terraform module to be used for firewall_x000a_4. Login to SAML server and clode the pipeline_x000a_5. Modify the terragrunt file as per the requirement_x000a_5. Do the git commit and push_x000a_6. Check the pipeline if it has been run and doing the required task_x000a_7. Create the merge request if everything is fine in step 6._x000a_8. Verify or validate the pipeline and/or console to see if the required firewall rules has been created/modified/deleted"/>
    <s v="Not Applicable"/>
    <s v="Not Applicable"/>
    <s v="Not Applicable"/>
    <s v="Per project"/>
    <n v="21.75"/>
    <s v="IMS"/>
    <s v="IMS"/>
    <n v="3"/>
    <s v="Service Owner - Expert - manager follow this link "/>
    <s v="Not Applicable"/>
    <m/>
    <d v="2023-06-09T00:00:00"/>
    <s v="V0.4"/>
    <d v="2023-06-09T00:00:00"/>
    <n v="2"/>
    <n v="0.1"/>
    <s v="IMS"/>
    <m/>
    <x v="0"/>
  </r>
  <r>
    <x v="285"/>
    <x v="0"/>
    <s v="Cloud"/>
    <s v="AWS"/>
    <x v="62"/>
    <x v="7"/>
    <x v="223"/>
    <s v="1. Need to check the RITM and find out the details_x000a_2. Identify the required terraform module _x000a_3. Login to SAML server and clode the pipeline_x000a_4. Modify the terragrunt file as per the requirement_x000a_5. Do the git commit and push_x000a_6. Check the pipeline if it has been run and doing the required task_x000a_7. Create the merge request if everything is fine then it will trigger the Gitlab pipeline_x000a_8. Verify or validate the pipeline and/or console to see if the required api has been activated"/>
    <s v="AWS Account Provision Legacy"/>
    <s v="https://sanofiservices.service-now.com/onesupport?id=sc_cat_item_guide&amp;table=sc_cat_item&amp;sys_id=ec57c51b1bd3fb8017d3fddacd4bcb9b"/>
    <s v="Not Applicable"/>
    <s v="Per request"/>
    <n v="21.75"/>
    <n v="4"/>
    <n v="87"/>
    <n v="5"/>
    <s v="Service Owner - Expert - manager follow this link "/>
    <s v="Not Applicable"/>
    <m/>
    <d v="2023-06-09T00:00:00"/>
    <s v="V0.4"/>
    <d v="2023-06-09T00:00:00"/>
    <n v="2"/>
    <n v="0.1"/>
    <n v="78.3"/>
    <m/>
    <x v="1"/>
  </r>
  <r>
    <x v="286"/>
    <x v="0"/>
    <s v="Cloud"/>
    <s v="AWS"/>
    <x v="62"/>
    <x v="7"/>
    <x v="224"/>
    <s v="1. Need to check the RITM and find out the details_x000a_2. Approved by Sanofi Architecture_x000a_3. Login to AWS Console_x000a_4. Navigate the Endpoint under VPC_x000a_5. Create the VPC Endpoint as requested"/>
    <s v="VPC Endpoint Creation "/>
    <s v="https://sanofiservices.service-now.com/onesupport?id=sc_cat_item_guide&amp;table=sc_cat_item&amp;sys_id=ec57c51b1bd3fb8017d3fddacd4bcb9b"/>
    <s v="Not Applicable"/>
    <s v="Per request"/>
    <n v="21.75"/>
    <n v="1"/>
    <n v="21.75"/>
    <n v="3"/>
    <s v="Service Owner - Expert - manager follow this link "/>
    <s v="Not Applicable"/>
    <m/>
    <d v="2023-06-09T00:00:00"/>
    <s v="V0.4"/>
    <d v="2023-06-09T00:00:00"/>
    <n v="2"/>
    <n v="0.1"/>
    <n v="19.574999999999999"/>
    <m/>
    <x v="1"/>
  </r>
  <r>
    <x v="287"/>
    <x v="0"/>
    <s v="Cloud"/>
    <s v="GCP"/>
    <x v="61"/>
    <x v="0"/>
    <x v="225"/>
    <s v="1. Need to check the RITM and find out the details_x000a_2. Need to check what is the requirement for VPN to be created/modified/deleted_x000a_3. Identify the required terraform module to be used for VPN _x000a_4. Login to SAML server and clone the pipeline_x000a_5. Modify the terragrunt file as per the requirement_x000a_5. Do the git commit and push_x000a_6. Check the pipeline if it has been run and doing the required task_x000a_7. Create the merge request if everything is fine in step 6._x000a_8. Verify or validate the pipeline and/or console to see if the required change has been completed"/>
    <s v="Not Applicable"/>
    <s v="Not Applicable"/>
    <s v="Not Applicable"/>
    <s v="Per project"/>
    <n v="21.75"/>
    <s v="IMS"/>
    <s v="IMS"/>
    <n v="3"/>
    <s v="Service Owner - Expert - manager follow this link "/>
    <s v="Not Applicable"/>
    <m/>
    <d v="2023-06-09T00:00:00"/>
    <s v="V0.4"/>
    <d v="2023-06-09T00:00:00"/>
    <n v="2"/>
    <n v="0.1"/>
    <s v="IMS"/>
    <m/>
    <x v="0"/>
  </r>
  <r>
    <x v="288"/>
    <x v="0"/>
    <s v="Cloud"/>
    <s v="AWS"/>
    <x v="62"/>
    <x v="0"/>
    <x v="226"/>
    <s v="1. Need to check the RITM and find out the details_x000a_2. Approved by Sanofi Architecture_x000a_3. Login to AWS Console_x000a_4. Navigate the Endpoint under VPC_x000a_5. Delete the VPC Endpoint as requested"/>
    <s v="VPC Endpoint Deletion "/>
    <s v="https://sanofiservices.service-now.com/onesupport?id=sc_cat_item_guide&amp;table=sc_cat_item&amp;sys_id=ec57c51b1bd3fb8017d3fddacd4bcb9b"/>
    <s v="Not Applicable"/>
    <s v="Per request"/>
    <n v="21.75"/>
    <s v="IMS"/>
    <s v="IMS"/>
    <n v="3"/>
    <s v="Service Owner - Expert - manager follow this link "/>
    <s v="Not Applicable"/>
    <m/>
    <d v="2023-06-09T00:00:00"/>
    <s v="V0.4"/>
    <d v="2023-06-09T00:00:00"/>
    <n v="2"/>
    <n v="0.1"/>
    <s v="IMS"/>
    <m/>
    <x v="0"/>
  </r>
  <r>
    <x v="289"/>
    <x v="0"/>
    <s v="Cloud"/>
    <s v="AWS"/>
    <x v="62"/>
    <x v="0"/>
    <x v="227"/>
    <s v="1. Need to check the RITM and find out the details_x000a_2.  Login to AWS Console_x000a_3. Navigate the Service EC2_x000a_4. Update User-data with port number/Domain name as requested_x000a_5. Refresh the proxy autoscaling group"/>
    <s v="Not Applicable"/>
    <s v="Not Applicable"/>
    <s v="Not Applicable"/>
    <s v="Per request"/>
    <n v="21.75"/>
    <s v="IMS"/>
    <s v="IMS"/>
    <n v="3"/>
    <s v="Service Owner - Expert - manager follow this link "/>
    <s v="Not Applicable"/>
    <m/>
    <d v="2023-06-09T00:00:00"/>
    <s v="V0.4"/>
    <d v="2023-06-09T00:00:00"/>
    <n v="2"/>
    <n v="0.1"/>
    <s v="IMS"/>
    <m/>
    <x v="0"/>
  </r>
  <r>
    <x v="290"/>
    <x v="0"/>
    <s v="Cloud"/>
    <s v="MFT--AWS"/>
    <x v="62"/>
    <x v="0"/>
    <x v="228"/>
    <s v="1. Gather the requiremnet from RITM request_x000a_2. checking the presence of bucket name &amp; user id details in respective unix servers _x000a_3. Modifying / Removing the user access &amp; running the pipeline in GIT LAB._x000a_4. Informing user to test the access using server name, id ._x000a_5. Update RITM"/>
    <s v="Not Applicable"/>
    <s v="Not Applicable"/>
    <s v="Not Applicable"/>
    <s v="Per set-up"/>
    <n v="21.75"/>
    <s v="IMS "/>
    <s v="IMS"/>
    <n v="7"/>
    <s v="Service Owner - Expert - manager follow this link "/>
    <s v="Not Applicable"/>
    <m/>
    <d v="2023-09-15T00:00:00"/>
    <s v="V0.5"/>
    <d v="2023-09-15T00:00:00"/>
    <n v="2"/>
    <n v="0.1"/>
    <s v="IMS"/>
    <m/>
    <x v="0"/>
  </r>
  <r>
    <x v="291"/>
    <x v="0"/>
    <s v="On_Prem"/>
    <s v="Storage"/>
    <x v="5"/>
    <x v="7"/>
    <x v="229"/>
    <s v="Requirement gathering /Infrastructure review meetings_x000a_Storage access review and validation_x000a_Checking the basic configuration_x000a_Storage implementation/Configuration as per the standard IQ document_x000a_Raising the ENC request for_x000a_Adding the storage to Bastion_x000a_Adding to CMDB (Logging a RITM to CMDB Team)_x000a_Co-ordinate  with Vendor for any issue/support_x000a_Preparing the IQ document _x000a_Update the Credentials in Keypass/Inventory update_x000a_Post validation review and modification"/>
    <s v="Not Applicable"/>
    <s v="Not Applicable"/>
    <s v="Not Applicable"/>
    <s v="Per Request"/>
    <n v="21.75"/>
    <n v="24"/>
    <n v="522"/>
    <n v="15"/>
    <s v="Service Owner - Expert - manager follow this link "/>
    <s v="Not Applicable"/>
    <m/>
    <d v="2023-06-09T00:00:00"/>
    <s v="V0.4"/>
    <d v="2023-06-09T00:00:00"/>
    <n v="2"/>
    <n v="0.1"/>
    <n v="469.8"/>
    <m/>
    <x v="1"/>
  </r>
  <r>
    <x v="292"/>
    <x v="0"/>
    <s v="On_Prem"/>
    <s v="Storage"/>
    <x v="5"/>
    <x v="7"/>
    <x v="230"/>
    <s v="Requirement gathering /Infrastructure review meetings_x000a_Storage access review and validation_x000a_Checking the basic configuration of storage and Metro-cluster Switches/Bridge._x000a_Storage and Atto Bridge/Metro Cluster Switches implementation/Configuration as per the standard IQ document_x000a_Raising/Validation the ENC request for_x000a_Adding the storage to Bastion_x000a_Adding to CMDB (Logging a RITM to CMDB Team)_x000a_Co-ordinate  with Vendor for any issue/support_x000a_Preparing the IQ document_x000a_Update the Credentials in Keypass/Inventory update_x000a_Post validation review and modification for Storage and Atto Bridge/Metro Cluster Switches"/>
    <s v="Not Applicable"/>
    <s v="Not Applicable"/>
    <s v="Not Applicable"/>
    <s v="Per Storage array"/>
    <n v="21.75"/>
    <n v="33.75"/>
    <n v="734.0625"/>
    <n v="20"/>
    <s v="Service Owner - Expert - manager follow this link "/>
    <s v="Not Applicable"/>
    <m/>
    <d v="2023-06-09T00:00:00"/>
    <s v="V0.4"/>
    <d v="2023-06-09T00:00:00"/>
    <n v="2"/>
    <n v="0.1"/>
    <n v="660.65625"/>
    <m/>
    <x v="1"/>
  </r>
  <r>
    <x v="293"/>
    <x v="0"/>
    <s v="On_Prem"/>
    <s v="Citrix"/>
    <x v="9"/>
    <x v="7"/>
    <x v="231"/>
    <s v="L3 Implementation Activities: Per Node_x000a_- VDA installation_x000a_- Optimization (Scheduled tasks, services, registries)_x000a_- Documentation"/>
    <s v="Not Applicable"/>
    <s v="Not Applicable"/>
    <s v="Not Applicable"/>
    <s v="Per VM"/>
    <n v="21.75"/>
    <n v="4"/>
    <n v="87"/>
    <n v="3"/>
    <s v="Service Owner - Expert - manager follow this link "/>
    <s v="Not Applicable"/>
    <m/>
    <d v="2023-06-09T00:00:00"/>
    <s v="V0.4"/>
    <d v="2023-06-09T00:00:00"/>
    <n v="2"/>
    <n v="0.1"/>
    <n v="78.3"/>
    <m/>
    <x v="1"/>
  </r>
  <r>
    <x v="294"/>
    <x v="0"/>
    <s v="On_Prem"/>
    <s v="Citrix"/>
    <x v="9"/>
    <x v="7"/>
    <x v="232"/>
    <s v="Activities: Per Server_x000a_- Registry modification_x000a_- Applying Edge policies"/>
    <s v="Not Applicable"/>
    <s v="Not Applicable"/>
    <s v="Not Applicable"/>
    <s v="Per VM"/>
    <n v="21.75"/>
    <n v="2"/>
    <n v="43.5"/>
    <n v="3"/>
    <s v="Service Owner - Expert - manager follow this link "/>
    <s v="Not Applicable"/>
    <m/>
    <d v="2023-06-09T00:00:00"/>
    <s v="V0.4"/>
    <d v="2023-06-09T00:00:00"/>
    <n v="2"/>
    <n v="0.1"/>
    <n v="39.15"/>
    <m/>
    <x v="1"/>
  </r>
  <r>
    <x v="295"/>
    <x v="0"/>
    <s v="Cloud"/>
    <s v="Citrix"/>
    <x v="9"/>
    <x v="7"/>
    <x v="233"/>
    <s v="Activities: Per Server_x000a_- Install Fslogix agent if not installed_x000a_- Create server app specific folder on FSLogix share_x000a_- Configure profile share on the server"/>
    <s v="Not Applicable"/>
    <s v="Not Applicable"/>
    <s v="Not Applicable"/>
    <s v="Per VM"/>
    <n v="21.75"/>
    <n v="2"/>
    <n v="43.5"/>
    <n v="3"/>
    <s v="Service Owner - Expert - manager follow this link "/>
    <s v="Not Applicable"/>
    <m/>
    <d v="2023-06-09T00:00:00"/>
    <s v="V0.4"/>
    <d v="2023-06-09T00:00:00"/>
    <n v="2"/>
    <n v="0.1"/>
    <n v="39.15"/>
    <m/>
    <x v="1"/>
  </r>
  <r>
    <x v="296"/>
    <x v="0"/>
    <s v="Cloud"/>
    <s v="Citrix"/>
    <x v="9"/>
    <x v="7"/>
    <x v="234"/>
    <s v="Activities: Per Server_x000a_- Image update_x000a_- Snapshot creation_x000a_- Image testing_x000a_- Image rollout"/>
    <s v="Not Applicable"/>
    <s v="Not Applicable"/>
    <s v="Not Applicable"/>
    <s v="Per VM"/>
    <n v="21.75"/>
    <n v="8"/>
    <n v="174"/>
    <n v="4"/>
    <s v="Service Owner - Expert - manager follow this link "/>
    <s v="Not Applicable"/>
    <m/>
    <d v="2023-06-09T00:00:00"/>
    <s v="V0.4"/>
    <d v="2023-06-09T00:00:00"/>
    <n v="2"/>
    <n v="0.1"/>
    <n v="156.6"/>
    <m/>
    <x v="1"/>
  </r>
  <r>
    <x v="297"/>
    <x v="1"/>
    <s v="On_Prem"/>
    <s v="CARA Deploy Team"/>
    <x v="67"/>
    <x v="7"/>
    <x v="235"/>
    <s v="Create the applicatoin TSD_x000a_Approvals (tools and OS verificaiton) from corressponding team_x000a_Trigger the application deployment_x000a_Creation of IQTC and approvals_x000a_Post deployment steps ( Enroll the patch)_x000a_Compliance ( change model or change to be raised)_x000a_In case of Troubleshooting included in this line"/>
    <s v="Not Applicable"/>
    <s v="Not Applicable"/>
    <s v="Not Applicable"/>
    <s v="Per Request"/>
    <n v="21.75"/>
    <n v="1.25"/>
    <n v="27.1875"/>
    <n v="2"/>
    <s v="Service Owner - Expert - manager follow this link "/>
    <s v="Not Applicable"/>
    <m/>
    <d v="2023-06-09T00:00:00"/>
    <s v="V0.4"/>
    <d v="2023-06-09T00:00:00"/>
    <n v="2"/>
    <n v="0.1"/>
    <n v="24.46875"/>
    <m/>
    <x v="1"/>
  </r>
  <r>
    <x v="298"/>
    <x v="1"/>
    <s v="On_Prem"/>
    <s v="CARA Deploy Team"/>
    <x v="67"/>
    <x v="7"/>
    <x v="236"/>
    <s v="Create  TSD_x000a_Approvals (tools and OS verificaiton) from corresponding team_x000a_Trigger the PACKAGE LINUX deployment _x000a_Creation of IQTC and approvals_x000a_Post deployment steps ( Enroll the patch)_x000a_Compliance ( change model or change to be raised)_x000a_WU is for Windows or Linux_x000a_DB Included_x000a_Deployment coevered along with tools installation &amp;_x000a_Supplementary packages are included_x000a_There is no physical server installation through CARA. Only VMs we are creating"/>
    <s v="Not Applicable"/>
    <s v="Not Applicable"/>
    <s v="Not Applicable"/>
    <s v="per RITM_x000a_From 2 to 5 Vm by RITM"/>
    <n v="21.75"/>
    <n v="3.5"/>
    <n v="76.125"/>
    <n v="2"/>
    <s v="Service Owner - Expert - manager follow this link "/>
    <s v="Not Applicable"/>
    <m/>
    <d v="2023-09-15T00:00:00"/>
    <s v="V0.5"/>
    <d v="2023-09-15T00:00:00"/>
    <n v="2"/>
    <n v="0.1"/>
    <n v="68.512500000000003"/>
    <m/>
    <x v="1"/>
  </r>
  <r>
    <x v="299"/>
    <x v="0"/>
    <s v="On_Prem_NGDC/Cloud"/>
    <s v="Windows"/>
    <x v="69"/>
    <x v="7"/>
    <x v="237"/>
    <s v="Validate Request (with all prerequiste details)_x000a_Connect with PTC (on call)_x000a_Follow up to get all the details_x000a_Request for Server downtime _x000a_Follow the SOP and close the request"/>
    <s v="Not Applicable"/>
    <s v="Not Applicable"/>
    <s v="Not Applicable"/>
    <s v="Per CI"/>
    <n v="21.75"/>
    <n v="1"/>
    <n v="21.75"/>
    <n v="3"/>
    <s v="Service Owner - Expert - manager follow this link "/>
    <s v="Not Applicable"/>
    <m/>
    <d v="2023-09-15T00:00:00"/>
    <s v="V0.5"/>
    <d v="2023-09-15T00:00:00"/>
    <n v="2"/>
    <n v="0.1"/>
    <n v="19.574999999999999"/>
    <m/>
    <x v="1"/>
  </r>
  <r>
    <x v="300"/>
    <x v="0"/>
    <s v="On_Prem_NGDC/Cloud"/>
    <s v="Windows"/>
    <x v="70"/>
    <x v="7"/>
    <x v="238"/>
    <s v="Validate Request (with all prerequiste details)_x000a_Connect with PTC (on call)_x000a_Follow up to get all the details_x000a_Follow the SOP and close the request"/>
    <s v="Not Applicable"/>
    <s v="Not Applicable"/>
    <s v="Not Applicable"/>
    <s v="Per CI"/>
    <n v="21.75"/>
    <n v="0.5"/>
    <n v="10.875"/>
    <n v="3"/>
    <s v="Service Owner - Expert - manager follow this link "/>
    <s v="Not Applicable"/>
    <m/>
    <d v="2023-09-15T00:00:00"/>
    <s v="V0.5"/>
    <d v="2023-09-15T00:00:00"/>
    <n v="2"/>
    <n v="0.1"/>
    <n v="9.7874999999999996"/>
    <m/>
    <x v="1"/>
  </r>
  <r>
    <x v="301"/>
    <x v="0"/>
    <s v="On_Prem_NGDC/Cloud"/>
    <s v="Windows"/>
    <x v="71"/>
    <x v="7"/>
    <x v="239"/>
    <s v="Add server to OS hardening to the existing Secuirty group to apply the policy_x000a_If the Policy not get applied troubleshooting required._x000a_Transfer the request to Windows team to reboot all the servers to get the policy reflected"/>
    <s v="Not Applicable"/>
    <s v="Not Applicable"/>
    <s v="Not Applicable"/>
    <s v="Per CI"/>
    <n v="21.75"/>
    <n v="0.5"/>
    <n v="10.875"/>
    <n v="3"/>
    <s v="Service Owner - Expert - manager follow this link "/>
    <s v="Not Applicable"/>
    <m/>
    <d v="2023-09-15T00:00:00"/>
    <s v="V0.5"/>
    <d v="2023-09-15T00:00:00"/>
    <n v="2"/>
    <n v="0.1"/>
    <n v="9.7874999999999996"/>
    <m/>
    <x v="1"/>
  </r>
  <r>
    <x v="302"/>
    <x v="0"/>
    <s v="On_Prem_NGDC/Cloud"/>
    <s v="Windows"/>
    <x v="30"/>
    <x v="7"/>
    <x v="240"/>
    <s v="* Co-ordinating with Applictaion Owner to get the up2date wave details according to the patch schedule_x000a_* Check SCCM client health (Windows OS only) if not ok then co-ordinate with Wintel Team_x000a_* If SCCM cleint is ok then add the server to patch wave collections_x000a_* For Non-Windows servers we need to create DDR ( Data Discovery Record) and then add the server to patch wave collections_x000a_* After added into patch wave the server will get pacthes and patches will get installed as per wave schedule."/>
    <s v="Not Applicable"/>
    <s v="Not Applicable"/>
    <s v="Not Applicable"/>
    <s v="Per  Site per device"/>
    <n v="21.75"/>
    <n v="0.5"/>
    <n v="10.875"/>
    <n v="45"/>
    <s v="Service Owner - Expert - manager follow this link "/>
    <s v="Not Applicable"/>
    <m/>
    <d v="2023-09-15T00:00:00"/>
    <s v="V0.5"/>
    <d v="2023-09-15T00:00:00"/>
    <n v="2"/>
    <n v="0.1"/>
    <n v="9.7874999999999996"/>
    <m/>
    <x v="1"/>
  </r>
  <r>
    <x v="303"/>
    <x v="0"/>
    <s v="Cloud"/>
    <s v="MFT--CFT"/>
    <x v="34"/>
    <x v="0"/>
    <x v="241"/>
    <s v="1.Gather source &amp; destination details from  the RITM request. _x000a_2. Test &amp; validate connections on both side. _x000a_3. verify the job name in corrseponding UAT &amp; PROD _x000a_4. Check on  modification request , Test it with sample file. _x000a_5. Get user confrimation on file transfer and scheduling the job to execute as per request 6. Update the RITM  with updated job details ."/>
    <s v="Not Applicable"/>
    <s v="Not Applicable"/>
    <s v="Not Applicable"/>
    <s v="Not Applicable"/>
    <n v="21.75"/>
    <s v="IMS"/>
    <s v="IMS"/>
    <n v="7"/>
    <s v="Service Owner - Expert - manager follow this link "/>
    <s v="Not Applicable"/>
    <m/>
    <d v="2023-09-15T00:00:00"/>
    <s v="V0.5"/>
    <d v="2023-09-15T00:00:00"/>
    <n v="2"/>
    <n v="0.1"/>
    <s v="IMS"/>
    <m/>
    <x v="0"/>
  </r>
  <r>
    <x v="304"/>
    <x v="0"/>
    <s v="On_Prem_NGDC/Cloud"/>
    <s v="Windows"/>
    <x v="72"/>
    <x v="5"/>
    <x v="242"/>
    <s v="* Accounts deletion_x000a_* Followup with safe owners for accounts removal"/>
    <s v="Not Applicable"/>
    <s v="Not Applicable"/>
    <s v="Not Applicable"/>
    <s v="Per set-up"/>
    <n v="21.75"/>
    <s v="IMS"/>
    <s v="IMS"/>
    <n v="1"/>
    <s v="Service Owner - Expert - manager follow this link "/>
    <s v="Not Applicable"/>
    <m/>
    <d v="2023-09-15T00:00:00"/>
    <s v="V0.5"/>
    <d v="2023-09-15T00:00:00"/>
    <n v="2"/>
    <n v="0.1"/>
    <s v="IMS"/>
    <m/>
    <x v="0"/>
  </r>
  <r>
    <x v="305"/>
    <x v="0"/>
    <s v="On_Prem_NGDC/Cloud"/>
    <s v="Windows"/>
    <x v="72"/>
    <x v="7"/>
    <x v="243"/>
    <s v="* Accounts Creation_x000a_* Adding dependent service accounts/groups to the servers_x000a_* Validation of dependent services and network Ports on server end_x000a_* Registry &amp; Group policy Modifications_x000a_* Co-ordinating with N/w firewall, N/w Data and bastion team to fix non-compliant issues_x000a_* Raising ENC requests whenever required and followup on same_x000a_* Testing of RDP connection accounts"/>
    <s v="Not Applicable"/>
    <s v="Not Applicable"/>
    <s v="Not Applicable"/>
    <s v="Per CI"/>
    <n v="21.75"/>
    <n v="0.75"/>
    <n v="16.3125"/>
    <n v="5"/>
    <s v="Service Owner - Expert - manager follow this link "/>
    <s v="Not Applicable"/>
    <m/>
    <d v="2023-09-15T00:00:00"/>
    <s v="V0.5"/>
    <d v="2023-09-15T00:00:00"/>
    <n v="2"/>
    <n v="0.1"/>
    <n v="14.68125"/>
    <m/>
    <x v="1"/>
  </r>
  <r>
    <x v="306"/>
    <x v="0"/>
    <s v="On_Prem_NGDC"/>
    <s v="WINDOWS"/>
    <x v="31"/>
    <x v="7"/>
    <x v="244"/>
    <s v="L3 Implementation Activities::_x000a_- L3 Review &amp; Verification post installation _x000a_- IQ – verification &amp; approval_x000a_L3 Co-ordination Activities ::_x000a_- Gather requirement in GIFT form and verify GIFT and ensure completeness."/>
    <s v="Legacy Server provisioning standard Windows"/>
    <s v="https://sanofiservices.service-now.com/onesupport?id=sc_cat_item&amp;table=sc_cat_item&amp;sys_id=a13007884fe0cb04cb48c0428110c751"/>
    <s v="ITS-CHMOD0000412"/>
    <s v="Per CI"/>
    <n v="21.75"/>
    <n v="2.7"/>
    <n v="58.725000000000001"/>
    <n v="5"/>
    <s v="Service Owner - Expert - manager follow this link "/>
    <s v="Not Applicable"/>
    <m/>
    <d v="2025-03-12T00:00:00"/>
    <s v="V2.1"/>
    <d v="2023-09-15T00:00:00"/>
    <n v="2"/>
    <n v="0.1"/>
    <n v="52.852499999999999"/>
    <m/>
    <x v="1"/>
  </r>
  <r>
    <x v="307"/>
    <x v="0"/>
    <s v="On_Prem"/>
    <s v="Unix "/>
    <x v="73"/>
    <x v="7"/>
    <x v="245"/>
    <s v="L3 Implementation Activities:_x000a_VCEM profile -  (setup for OS load, update for runtime)._x000a_Post build Customization-  (NIC primary/standby, vswitch, Profile update)._x000a_Discover server in HP IRS-Hardware monitoring - _x000a__x000a_L3 Co-ordination Activities:_x000a_Gather requirement in GIFT form and verify GIFT and ensure completeness. - _x000a_Approve IQ document -"/>
    <s v="Not Applicable"/>
    <s v="Not Applicable"/>
    <s v="ITS-CHMOD0001326"/>
    <s v="Per CI"/>
    <n v="21.75"/>
    <n v="9"/>
    <n v="195.75"/>
    <n v="10"/>
    <s v="Service Owner - Expert - manager follow this link "/>
    <s v="Not Applicable"/>
    <m/>
    <d v="2025-03-12T00:00:00"/>
    <s v="V2.1"/>
    <d v="2023-09-15T00:00:00"/>
    <n v="2"/>
    <n v="0.1"/>
    <n v="176.17500000000001"/>
    <m/>
    <x v="1"/>
  </r>
  <r>
    <x v="308"/>
    <x v="0"/>
    <s v="On_Prem"/>
    <s v="WINDOWS/Citrix"/>
    <x v="46"/>
    <x v="7"/>
    <x v="246"/>
    <s v="L3 Coordination Activities:_x000a_L3 Implementation Activities:_x000a_- Host name and IP reservation and assignment. _x000a_-  L3 related task in CRQ, IQ approval "/>
    <s v="Not Applicable"/>
    <s v="Not Applicable"/>
    <s v="Not Applicable"/>
    <s v="Per CI"/>
    <n v="21.75"/>
    <n v="5"/>
    <n v="108.75"/>
    <n v="10"/>
    <s v="Service Owner - Expert - manager follow this link "/>
    <s v="Not Applicable"/>
    <m/>
    <d v="2025-03-12T00:00:00"/>
    <s v="V2.1"/>
    <d v="2023-09-15T00:00:00"/>
    <n v="2"/>
    <n v="0.1"/>
    <n v="97.875"/>
    <m/>
    <x v="1"/>
  </r>
  <r>
    <x v="309"/>
    <x v="0"/>
    <s v="Windows 2003 OS"/>
    <s v="Windows"/>
    <x v="74"/>
    <x v="7"/>
    <x v="247"/>
    <s v="Validate Request (with all prerequiste details)_x000a_Connect with PTC (on call)_x000a_Follow up to get all the details_x000a_Request for Server downtime _x000a_Follow the SOP and close the request"/>
    <s v="Not Applicable"/>
    <s v="Not Applicable"/>
    <s v="Not Applicable"/>
    <s v="Per CI"/>
    <n v="21.75"/>
    <n v="1"/>
    <n v="21.75"/>
    <n v="3"/>
    <s v="Service Owner - Expert - manager follow this link "/>
    <s v="Not Applicable"/>
    <m/>
    <d v="2023-09-15T00:00:00"/>
    <s v="V0.5"/>
    <d v="2023-09-15T00:00:00"/>
    <n v="2"/>
    <n v="0.1"/>
    <n v="19.574999999999999"/>
    <m/>
    <x v="1"/>
  </r>
  <r>
    <x v="310"/>
    <x v="0"/>
    <s v="On_Prem_NGDC/Cloud"/>
    <s v="Windows"/>
    <x v="30"/>
    <x v="7"/>
    <x v="248"/>
    <s v="* Check SCCM client health if not ok then co-ordinate with Wintel Team_x000a_* If SCCM cleint is ok then deploy the OS hardening package on the server_x000a_* If deployment got failed inform Wintel team to remediate manually. _x000a_* If deployment is successful then inform requester about the same"/>
    <s v="Not Applicable"/>
    <s v="Not Applicable"/>
    <s v="Not Applicable"/>
    <s v="Per Site"/>
    <n v="21.75"/>
    <n v="2"/>
    <n v="43.5"/>
    <n v="3"/>
    <s v="Service Owner - Expert - manager follow this link "/>
    <s v="Not Applicable"/>
    <m/>
    <d v="2023-09-15T00:00:00"/>
    <s v="V0.5"/>
    <d v="2023-09-15T00:00:00"/>
    <n v="2"/>
    <n v="0.1"/>
    <n v="39.15"/>
    <m/>
    <x v="1"/>
  </r>
  <r>
    <x v="311"/>
    <x v="1"/>
    <s v="On_Prem"/>
    <s v="Mobility / IA Devices"/>
    <x v="75"/>
    <x v="10"/>
    <x v="249"/>
    <s v="Implementation Activities:_x000a__x000a_1.We help site to create Generic account and password._x000a_2.Request site to make GN account to be part of required Active Directory groups._x000a_3.Verify the required AD group is configured in radius server._x000a_4.Provide Installation document and help site to connect with Industrial wifi._x000a_5.Provide support to the enroll the devices in SOTI."/>
    <s v="Not Applicable"/>
    <s v="Not Applicable"/>
    <s v="Not Applicable"/>
    <s v="Per Site"/>
    <n v="21.75"/>
    <n v="5"/>
    <n v="108.75"/>
    <n v="1"/>
    <s v="Service Owner - Expert - manager follow this link "/>
    <s v="Not Applicable"/>
    <m/>
    <d v="2023-09-15T00:00:00"/>
    <s v="V0.5"/>
    <d v="2023-09-15T00:00:00"/>
    <n v="2"/>
    <n v="0.1"/>
    <n v="97.875"/>
    <m/>
    <x v="1"/>
  </r>
  <r>
    <x v="312"/>
    <x v="1"/>
    <s v="On_Prem"/>
    <s v="Mobility / IA Devices"/>
    <x v="75"/>
    <x v="10"/>
    <x v="250"/>
    <s v="Implementation Activities:_x000a_1.Request Quotation for device models as per site requirement._x000a_2.Build package with apk/files in MCstudio._x000a_3.Deploy packages in SOTI Console._x000a_4.Create Profiles with deployed packages._x000a_5.Assign profiles to target devices._x000a_6.Provide required support for Installation of device."/>
    <s v="Not Applicable"/>
    <s v="Not Applicable"/>
    <s v="Not Applicable"/>
    <s v="Per Site"/>
    <n v="21.75"/>
    <n v="7"/>
    <n v="152.25"/>
    <n v="1"/>
    <s v="Service Owner - Expert - manager follow this link "/>
    <s v="Not Applicable"/>
    <m/>
    <d v="2023-09-15T00:00:00"/>
    <s v="V0.5"/>
    <d v="2023-09-15T00:00:00"/>
    <n v="2"/>
    <n v="0.1"/>
    <n v="137.02500000000001"/>
    <m/>
    <x v="1"/>
  </r>
  <r>
    <x v="313"/>
    <x v="1"/>
    <s v="On_Prem"/>
    <s v="Mobility / IA Devices"/>
    <x v="75"/>
    <x v="10"/>
    <x v="251"/>
    <s v="Implementation Activities:_x000a_1.Request Quotation as per device model._x000a_2.We help site to create Generic account and password._x000a_3.We help site to enroll devices in SOTI_x000a_4.We create site folder in SOTI and we provide permission to access it._x000a_6.We create Package/kisok profile as per site requirement with apk/bundle id provided by site._x000a_7.we Deploy Package to respective site folder._x000a_8.Provide support to connect with Industrial WI-FI for printers."/>
    <s v="Not Applicable"/>
    <s v="Not Applicable"/>
    <s v="Not Applicable"/>
    <s v="Not Applicable"/>
    <n v="21.75"/>
    <n v="2"/>
    <n v="43.5"/>
    <n v="1"/>
    <s v="Service Owner - Expert - manager follow this link "/>
    <s v="Not Applicable"/>
    <m/>
    <d v="2023-09-15T00:00:00"/>
    <s v="V0.5"/>
    <d v="2023-09-15T00:00:00"/>
    <n v="2"/>
    <n v="0.1"/>
    <n v="39.15"/>
    <m/>
    <x v="1"/>
  </r>
  <r>
    <x v="314"/>
    <x v="0"/>
    <s v="On_Prem/ Cloud"/>
    <s v="MFT--Informatica"/>
    <x v="34"/>
    <x v="7"/>
    <x v="252"/>
    <s v="1.Gather source &amp; destination details from  the RITM request. _x000a_2. Test &amp; validate connections on both side(source &amp; destination). _x000a_3. Create  the workflow project in corrseponding UAT &amp; PROD _x000a_4. Test it with sample file. 5. Get user confrimation on file transfer and scheduling the job to execute as per request 6. Update the RITM  with job details."/>
    <s v="Not Applicable"/>
    <s v="Not Applicable"/>
    <s v="Not Applicable"/>
    <s v="Per set-up"/>
    <n v="21.75"/>
    <n v="3"/>
    <n v="65.25"/>
    <n v="7"/>
    <s v="Service Owner - Expert - manager follow this link "/>
    <s v="Not Applicable"/>
    <m/>
    <d v="2023-09-15T00:00:00"/>
    <s v="V0.5"/>
    <d v="2023-09-15T00:00:00"/>
    <n v="2"/>
    <n v="0.1"/>
    <n v="58.725000000000001"/>
    <m/>
    <x v="1"/>
  </r>
  <r>
    <x v="315"/>
    <x v="0"/>
    <s v="Public_Cloud"/>
    <s v="DOTNET--IIS"/>
    <x v="76"/>
    <x v="5"/>
    <x v="253"/>
    <s v="Teams involved in the project : Dotnet team, Cloudops,MFT,Database,DNS team, Monitoring._x000a__x000a_Co-ordination Activity: _x000a_Implementation activity _x000a__x000a_1. Backup of production code (on demand) and disable moniotoring _x000a_2. Web site deletion in webservers for all 3 environments DEV, STAG, PROD_x000a_3. Remove Auto Sync Job_x000a_4. Target group deletion (on 3 environments manual deletion rules on 3 ALBs, Terroform plan &amp; Apply)_x000a_5. Remove Gitlab project _x000a_6  Website &amp; Rollback folder deletion in S3 bucket_x000a_7. Remove SFTP access _x000a_8. Backup (optional) and decommission of database schema deleting (if any) _x000a_9. Cloudfront deletion for Prod website"/>
    <s v="Not Applicable"/>
    <s v="Not Applicable"/>
    <s v="Not Applicable"/>
    <s v="Per set-up"/>
    <n v="21.75"/>
    <s v="IMS"/>
    <s v="IMS"/>
    <n v="10"/>
    <s v="Service Owner - Expert - manager follow this link "/>
    <s v="Not Applicable"/>
    <m/>
    <d v="2023-09-15T00:00:00"/>
    <s v="V0.5"/>
    <d v="2023-09-15T00:00:00"/>
    <n v="2"/>
    <n v="0.1"/>
    <s v="IMS"/>
    <m/>
    <x v="0"/>
  </r>
  <r>
    <x v="316"/>
    <x v="0"/>
    <s v="On_Prem/ Cloud"/>
    <s v="MFT--IICS"/>
    <x v="34"/>
    <x v="7"/>
    <x v="254"/>
    <s v="1.Gather source &amp; destination details from  the RITM request. _x000a_2. In administrator,Test &amp; validate connections on both side(source &amp; destination)  . _x000a_3. in Mass-ingestion Create  the workflow  in corrseponding UAT &amp; PROD _x000a_4. Test it with sample file. 5. Get user confrimation on file transfer and scheduling the job to execute as per request 6. Update the RITM  with job details."/>
    <s v="Not Applicable"/>
    <s v="Not Applicable"/>
    <s v="Not Applicable"/>
    <s v="Per set-up"/>
    <n v="21.75"/>
    <n v="3"/>
    <n v="65.25"/>
    <n v="7"/>
    <s v="Service Owner - Expert - manager follow this link "/>
    <s v="Not Applicable"/>
    <m/>
    <d v="2023-09-15T00:00:00"/>
    <s v="V0.5"/>
    <d v="2023-09-15T00:00:00"/>
    <n v="2"/>
    <n v="0.1"/>
    <n v="58.725000000000001"/>
    <m/>
    <x v="1"/>
  </r>
  <r>
    <x v="317"/>
    <x v="0"/>
    <s v="On_Prem/ Cloud"/>
    <s v="MFT-PMS"/>
    <x v="77"/>
    <x v="7"/>
    <x v="255"/>
    <s v="1.Gather source &amp; destination details from  the RITM request.  _x000a_2. Define the partner details under transfer site tab. _x000a_3. Create routing between source and the destination, _x000a_4. Create subscription folder and map the routing , with scheduler.. _x000a_5. Schedule as per the requirement "/>
    <s v="Not Applicable"/>
    <s v="Not Applicable"/>
    <s v="Not Applicable"/>
    <s v="Per site creation ( 3 env)"/>
    <n v="21.75"/>
    <n v="3"/>
    <n v="65.25"/>
    <n v="7"/>
    <s v="Service Owner - Expert - manager follow this link "/>
    <s v="Not Applicable"/>
    <m/>
    <d v="2023-09-15T00:00:00"/>
    <s v="V0.5"/>
    <d v="2023-09-15T00:00:00"/>
    <n v="2"/>
    <n v="0.1"/>
    <n v="58.725000000000001"/>
    <m/>
    <x v="1"/>
  </r>
  <r>
    <x v="318"/>
    <x v="0"/>
    <s v="Public_Cloud"/>
    <s v="DOTNET--IIS"/>
    <x v="76"/>
    <x v="7"/>
    <x v="256"/>
    <s v="_x000a_Teams involved in the project : Dotnet team, Cloudops,MFT,Database,DNS team,Monitoring._x000a_Co-ordination Activity: _x000a_Requirement gathering from application teams_x000a_Implementation activity : _x000a_1. Validating DPR (Digital Properatary Registry)  &amp; Web site creation in 6 webservers for all 3 environments DEV, STAG, PROD_x000a_2. Setup Auto Sync Job  to pull the code from S3 Bucket to  Sever_x000a_3. Target group deployment (3 environments , feed input, plan &amp; Apply)_x000a_4. Deployment of Pipeline on GITLAB / GITHUB_x000a_5  Website &amp; Rollback folder creation in S3 bucket_x000a_6. SFTP access provisioning  (MFT team)_x000a_7. Database schema provisioning (optional)  (DB Team)_x000a_8. Cloudfront creation for Prod website and provisioning ACM certificate, co-ordinate with DNS teams (Cloud ops team)_x000a_9. Content deployment &amp; customizations until production website Go live ( Virtual app creation, one trust cookie, custom error page, manual web.config deployment, Meetings dev teams)_x000a_10.Co-ordination of URL monitoring enablement (Infra Monitoring - Optional)"/>
    <s v="Not Applicable"/>
    <s v="Not Applicable"/>
    <s v="Not Applicable"/>
    <s v="Per site creation ( 3 env)"/>
    <n v="21.75"/>
    <n v="8"/>
    <n v="174"/>
    <n v="10"/>
    <s v="Service Owner - Expert - manager follow this link "/>
    <s v="Not Applicable"/>
    <m/>
    <d v="2023-09-15T00:00:00"/>
    <s v="V0.5"/>
    <d v="2023-09-15T00:00:00"/>
    <n v="2"/>
    <n v="0.1"/>
    <n v="156.6"/>
    <m/>
    <x v="1"/>
  </r>
  <r>
    <x v="319"/>
    <x v="0"/>
    <s v="Public_Cloud"/>
    <s v="DOTNET--IIS"/>
    <x v="76"/>
    <x v="7"/>
    <x v="257"/>
    <s v="Teams involved in the project : Dotnet team, Cloudops,MFT,DNS team, Monitoring._x000a__x000a_Co-ordination Activity: _x000a_Requirement gathering from application teams_x000a_Implementation activity _x000a__x000a_1. Validating DPR &amp; Creation of S3 buckets on all 3 environments DEV, STAG, PROD_x000a_2. Apache deployment for Dev,stag and Prod_x000a_3  SFTP access provisioning_x000a_4. Gitlab project creation and pipeline deployment (cresendo template)_x000a_5. Cloudfront creation for Prod website and provisioning ACM certificate _x000a_6. Content deployment &amp; customizations until production website Go live (one trust cookie, custom error page, Redirection rules, Meetings dev teams)_x000a_7. Co-ordination of URL monitoring enablement"/>
    <s v="Not Applicable"/>
    <s v="Not Applicable"/>
    <s v="Not Applicable"/>
    <s v="Per site deletion"/>
    <n v="21.75"/>
    <n v="5"/>
    <n v="108.75"/>
    <n v="10"/>
    <s v="Service Owner - Expert - manager follow this link "/>
    <s v="Not Applicable"/>
    <m/>
    <d v="2023-09-15T00:00:00"/>
    <s v="V0.5"/>
    <d v="2023-09-15T00:00:00"/>
    <n v="2"/>
    <n v="0.1"/>
    <n v="97.875"/>
    <m/>
    <x v="1"/>
  </r>
  <r>
    <x v="320"/>
    <x v="0"/>
    <s v="Public_Cloud"/>
    <s v="DOTNET--IIS"/>
    <x v="76"/>
    <x v="5"/>
    <x v="258"/>
    <s v="Static Decommision:_x000a__x000a_Teams involved in the project : Dotnet team, Cloudops,MFT,DNS team, Monitoring._x000a__x000a_Co-ordination Activity: _x000a_Implementation activity _x000a_1. Backup of production code (optional)_x000a_2. Disable moniotoring _x000a_3. Deletion of S3 buckets on all 3 environments DEV, STAG, PROD _x000a_4. Remove apache vhosts for Dev,stag and Prod_x000a_5. Remove SFTP access_x000a_6. Gitlab project and pipeline deletion_x000a_7. Cloudfront deletion for Prod website"/>
    <s v="Not Applicable"/>
    <s v="Not Applicable"/>
    <s v="Not Applicable"/>
    <s v="per Cluster"/>
    <n v="21.75"/>
    <s v="IMS"/>
    <s v="IMS"/>
    <n v="10"/>
    <s v="Service Owner - Expert - manager follow this link "/>
    <s v="Not Applicable"/>
    <m/>
    <d v="2023-09-15T00:00:00"/>
    <s v="V0.5"/>
    <d v="2023-09-15T00:00:00"/>
    <n v="2"/>
    <n v="0.1"/>
    <s v="IMS"/>
    <m/>
    <x v="0"/>
  </r>
  <r>
    <x v="321"/>
    <x v="0"/>
    <s v="On_Prem/ Cloud"/>
    <s v="MFT--IICS/ Informatica"/>
    <x v="34"/>
    <x v="8"/>
    <x v="259"/>
    <s v="1. Investing time in  meeting about the migration  discussion. _x000a_2. gathering the requirements about migrating from existing to new one. _x000a_3. discussion on next steps of submitting RITM  &amp; co-ordinating with requester, source &amp; destination teams."/>
    <s v="Not Applicable"/>
    <s v="Not Applicable"/>
    <s v="Not Applicable"/>
    <s v="Per site deletion"/>
    <n v="21.75"/>
    <n v="3"/>
    <n v="65.25"/>
    <n v="7"/>
    <s v="Service Owner - Expert - manager follow this link "/>
    <s v="Not Applicable"/>
    <m/>
    <d v="2023-09-15T00:00:00"/>
    <s v="V0.5"/>
    <d v="2023-09-15T00:00:00"/>
    <n v="2"/>
    <n v="0.1"/>
    <n v="58.725000000000001"/>
    <m/>
    <x v="1"/>
  </r>
  <r>
    <x v="322"/>
    <x v="0"/>
    <s v="Cloud"/>
    <s v="AWS"/>
    <x v="62"/>
    <x v="0"/>
    <x v="260"/>
    <s v="1. User Creation/Modification / Deletion  (Postgress, My SQL, MS SQL &amp; Oracle)"/>
    <s v="Data User account MaNot Applicablegement "/>
    <s v="https://sanofiservices.service-now.com/onesupport?id=sc_cat_item_guide&amp;table=sc_cat_item&amp;sys_id=ec57c51b1bd3fb8017d3fddacd4bcb9b"/>
    <s v="Not Applicable"/>
    <s v="Per request"/>
    <n v="21.75"/>
    <s v="IMS"/>
    <s v="IMS"/>
    <n v="3"/>
    <s v="Service Owner - Expert - manager follow this link "/>
    <s v="Not Applicable"/>
    <m/>
    <d v="2023-06-09T00:00:00"/>
    <s v="V0.4"/>
    <d v="2023-06-09T00:00:00"/>
    <n v="2"/>
    <n v="0.1"/>
    <s v="IMS"/>
    <m/>
    <x v="0"/>
  </r>
  <r>
    <x v="323"/>
    <x v="0"/>
    <s v="On_Prem"/>
    <s v="Unix "/>
    <x v="73"/>
    <x v="7"/>
    <x v="261"/>
    <s v="Co-ordination Activity: _x000a_Requirement gathering from application teams_x000a_Implementation activity : _x000a_- Meeting with onsite team/HPE                             _x000a_- Copy Iso image to Jumpbox _x000a_- Check the flow prerequisite on jumpbox _x000a_- Create Raid mirroring _x000a_- Create Kickstart file _x000a_- Install Linux OS                                         _x000a_- Checking cabling matrix with onsite team                 _x000a_- Adding the server to wave                                _x000a_- Apply security patches                                   _x000a_- Install software (commvault, Qradar, Splunk etc..)      _x000a_- Storage prerequisite (give WWN)                           _x000a_- Checking Cluster prerequisite (flow, kernel)      _x000a_- Multipath Configuration                                   _x000a_- FileSystem Creation                                  _x000a_- Cluster Configuration                             _x000a_- Resoure group creation                                      _x000a_- HA Test along with Application team    _x000a_- Qualification Linux OS                       _x000a_- Qualification Cluster                _x000a_- Provide Proof for MTP                           "/>
    <s v="Not Applicable"/>
    <s v="Not Applicable"/>
    <s v="Not Applicable"/>
    <s v="per Cluster"/>
    <n v="21.75"/>
    <n v="20"/>
    <n v="435"/>
    <n v="10"/>
    <s v="Service Owner - Expert - manager follow this link "/>
    <s v="Not Applicable"/>
    <m/>
    <d v="2023-09-15T00:00:00"/>
    <s v="V0.5"/>
    <d v="2023-09-15T00:00:00"/>
    <n v="2"/>
    <n v="0.1"/>
    <n v="391.5"/>
    <m/>
    <x v="1"/>
  </r>
  <r>
    <x v="324"/>
    <x v="0"/>
    <s v="On_Prem"/>
    <s v="Windows"/>
    <x v="31"/>
    <x v="5"/>
    <x v="262"/>
    <s v="Validate the Request by conducting 21 Days of Scream Period _x000a_Followup to get the scream details (verify whether IINC was raised) _x000a_Raise a DB Decom change if required _x000a_Raising a Decom change for CI's (1 change per CI)_x000a_Decom of Physical servers"/>
    <s v="Not Applicable"/>
    <s v="Not Applicable"/>
    <s v="Not Applicable"/>
    <s v="Not Applicable"/>
    <n v="21.75"/>
    <s v="IMS"/>
    <s v="IMS"/>
    <s v="20 for PMS and IMS ? "/>
    <s v="Service Owner - Expert - manager follow this link "/>
    <s v="Not Applicable"/>
    <m/>
    <d v="2023-11-17T00:00:00"/>
    <s v="V0.6"/>
    <d v="2023-11-17T00:00:00"/>
    <n v="1"/>
    <n v="0.1"/>
    <s v="IMS"/>
    <m/>
    <x v="0"/>
  </r>
  <r>
    <x v="325"/>
    <x v="0"/>
    <s v="On_Prem"/>
    <s v="Infra Monitoring"/>
    <x v="78"/>
    <x v="7"/>
    <x v="263"/>
    <s v=" L2 Activities: _x000a_- Add servers to the Monitoring(Windows, Linux, Unix, Aix ,NetApp/Metro cluster / CommVault etc..._x000a_- Validate the forwarder service _x000a_- Performing troubleshoot data ingestion when the time of data not received to Splunk and also perform Port level troubleshoot. _x000a_- Troubleshoot configuration file issues and service issues _x000a_-  Need to raise RITM for Server access issues _x000a_- Remove Monitoring for the servers"/>
    <s v="Not Applicable"/>
    <s v="Not Applicable"/>
    <s v="Not Applicable"/>
    <s v="Per Request 1 to 20 CI's"/>
    <n v="21.75"/>
    <n v="0.5"/>
    <n v="10.875"/>
    <n v="7"/>
    <s v="Service Owner - Expert - manager follow this link "/>
    <s v="Not Applicable"/>
    <m/>
    <d v="2023-11-17T00:00:00"/>
    <s v="V0.6"/>
    <d v="2023-11-17T00:00:00"/>
    <n v="1"/>
    <n v="0.08"/>
    <n v="10.005000000000001"/>
    <m/>
    <x v="1"/>
  </r>
  <r>
    <x v="326"/>
    <x v="0"/>
    <s v="On_Prem"/>
    <s v="Infra Monitoring"/>
    <x v="78"/>
    <x v="7"/>
    <x v="264"/>
    <s v=" L2 and L3 Activities: _x000a_- Add servers to the Monitoring(Windows, Linux, Unix, Aix ,NetApp/Metro cluster / CommVault etc..._x000a_- Add URL's to the monitoring _x000a_- Add process and services to the monitoring.                                               _x000a_- Validate the forwarder service  _x000a_- Performing troubleshoot data ingestion when the time of data not received to Splunk and also perform Port level troubleshoot. _x000a_- Troubleshoot configuration file issues and service issues _x000a_- Configure app based monitoring _x000a_-  Need to raise RITM for Server access issues_x000a_- Remove Monitoring for the servers, services and process, Databases, URL's._x000a_- Regular health checks&quot;_x000a_- Custom app Integarion _x000a_- Installation configuration of Splunk base apps and Addon based on requirement (ex : AWS / Commvolt)_x000a_- Implementing the Script, Text file and log file monitoring wherever its is required."/>
    <s v="Not Applicable"/>
    <s v="Not Applicable"/>
    <s v="Not Applicable"/>
    <s v="Per Request 1 to 20 CI's"/>
    <n v="21.75"/>
    <n v="0.75"/>
    <n v="16.3125"/>
    <n v="7"/>
    <s v="Service Owner - Expert - manager follow this link "/>
    <s v="Not Applicable"/>
    <m/>
    <d v="2023-11-17T00:00:00"/>
    <s v="V0.6"/>
    <d v="2023-11-17T00:00:00"/>
    <n v="1"/>
    <n v="0.08"/>
    <n v="15.0075"/>
    <m/>
    <x v="1"/>
  </r>
  <r>
    <x v="327"/>
    <x v="0"/>
    <s v="On_Prem"/>
    <s v="Unix"/>
    <x v="79"/>
    <x v="5"/>
    <x v="262"/>
    <s v="Validate the Request by conducting 21 Days of Scream Period _x000a_Followup to get the scream details (verify whether IINC was raised) _x000a_Raise a DB Decom change if required _x000a_Raising a Decom change for CI's (1 change per CI)_x000a_Closing a DB decom / CI Decom Change "/>
    <s v="Not Applicable"/>
    <s v="Not Applicable"/>
    <s v="Not Applicable"/>
    <s v="Not Applicable"/>
    <n v="21.75"/>
    <s v="IMS"/>
    <s v="IMS"/>
    <s v="20 for PMS and IMS ? "/>
    <s v="Service Owner - Expert - manager follow this link "/>
    <s v="Not Applicable"/>
    <m/>
    <d v="2023-11-17T00:00:00"/>
    <s v="V0.6"/>
    <d v="2023-11-17T00:00:00"/>
    <n v="1"/>
    <n v="0.08"/>
    <s v="IMS"/>
    <m/>
    <x v="0"/>
  </r>
  <r>
    <x v="328"/>
    <x v="0"/>
    <s v="Public_Cloud"/>
    <s v="DOTNET--IIS (New)"/>
    <x v="80"/>
    <x v="7"/>
    <x v="265"/>
    <s v="_x000a_Steps are performed by Middleware WEB _x000a_Setup the webapp / static app in both UAT and Prod environment_x000a_Co-ordination Activity: _x000a_Requirement gathering from application teams_x000a_Implementation activity : _x000a__x000a_Creation of GitHub Teams Creation_x000a_Creation of GitHub repo for Web App/Static App_x000a_Secret Creation : Publish profile &amp; deployment token setup during the repo creation _x000a_Certificate Provisioning.PKI_x000a_DNS update co-ordination with Application &amp; wintel teams(optional)"/>
    <s v="Not Applicable"/>
    <s v="Not Applicable"/>
    <s v="Not Applicable"/>
    <s v="Per website"/>
    <n v="21.75"/>
    <n v="2"/>
    <n v="43.5"/>
    <n v="3"/>
    <s v="Service Owner - Expert - manager follow this link "/>
    <s v="Not Applicable"/>
    <m/>
    <d v="2023-11-17T00:00:00"/>
    <s v="V0.6"/>
    <d v="2023-11-17T00:00:00"/>
    <n v="1"/>
    <n v="0.08"/>
    <n v="40.020000000000003"/>
    <m/>
    <x v="1"/>
  </r>
  <r>
    <x v="329"/>
    <x v="0"/>
    <s v="Public_Cloud"/>
    <s v="DOTNET--IIS (New)"/>
    <x v="81"/>
    <x v="7"/>
    <x v="266"/>
    <s v="Steps are performed by Middleware WEB  &amp; cloudops teams_x000a_Setup the  scale website in both UAT and Prod environment_x000a__x000a_Co-ordination Activity: _x000a_Requirement gathering from application teams_x000a_Implementation activity _x000a__x000a_Request GitHub ID from vendor_x000a_Create Teams and add vendors_x000a_Create project in GitHub adding teams _x000a_setup the keypair on GitHub &amp; Openshift_x000a_Create the service account and role binding in OpenShift_x000a_Create secrets &amp; workflow in GitHub_x000a_Create Wiki page for code scanning_x000a_Create CloudFront and provision ACM certificate_x000a_Request SSL certificate and create public route"/>
    <s v="Not Applicable"/>
    <s v="Not Applicable"/>
    <s v="Not Applicable"/>
    <s v="Per site creation"/>
    <n v="21.75"/>
    <n v="8"/>
    <n v="174"/>
    <n v="5"/>
    <s v="Service Owner - Expert - manager follow this link "/>
    <s v="Not Applicable"/>
    <m/>
    <d v="2023-11-17T00:00:00"/>
    <s v="V0.6"/>
    <d v="2023-11-17T00:00:00"/>
    <n v="1"/>
    <n v="0.08"/>
    <n v="160.08000000000001"/>
    <m/>
    <x v="1"/>
  </r>
  <r>
    <x v="330"/>
    <x v="0"/>
    <s v="Public_Cloud"/>
    <s v="DOTNET--IIS (New)"/>
    <x v="81"/>
    <x v="5"/>
    <x v="267"/>
    <s v="Steps are performed by Middleware WEB  &amp; cloudops teams_x000a_Decommision the Scale website in both UAT and Prod environment_x000a__x000a_Co-ordination Activity: _x000a_Requirement gathering from application teams_x000a_Implementation activity _x000a__x000a_Request GitHub ID from vendor_x000a_Remove Teams and removing vendors_x000a_Remove project in GitHub (Remove secrets &amp; workflow, Wiki page for code scanning)_x000a_Remove the keypair on GitHub &amp; Openshift_x000a_Remove the service account and role binding in OpenShift_x000a_Remove CloudFront_x000a_Delete public route"/>
    <s v="Not Applicable"/>
    <s v="Not Applicable"/>
    <s v="Not Applicable"/>
    <s v="Per site deletion"/>
    <n v="21.75"/>
    <s v="IMS"/>
    <s v="IMS"/>
    <n v="3"/>
    <s v="Service Owner - Expert - manager follow this link "/>
    <s v="Not Applicable"/>
    <m/>
    <d v="2023-11-17T00:00:00"/>
    <s v="V0.6"/>
    <d v="2023-11-17T00:00:00"/>
    <n v="1"/>
    <n v="0.08"/>
    <s v="IMS"/>
    <m/>
    <x v="0"/>
  </r>
  <r>
    <x v="331"/>
    <x v="0"/>
    <s v="Public_Cloud"/>
    <s v="DOTNET--IIS (New)"/>
    <x v="82"/>
    <x v="5"/>
    <x v="268"/>
    <s v="_x000a_Steps are performed by Middleware WEB _x000a_Decommision the webapp / static app in both UAT and Prod environment_x000a__x000a_Co-ordination Activity: _x000a_Requirement gathering from application teams_x000a_Implementation activity : _x000a__x000a_Decommision of GitHub Teams _x000a_Decommision of GitHub Repo  for Web App/Static App_x000a_Remove the profile &amp; deployment token_x000a_DNS entry removal co-ordination with Application &amp; wintel teams (optional)"/>
    <s v="Not Applicable"/>
    <s v="Not Applicable"/>
    <s v="Not Applicable"/>
    <s v="Per site deletion"/>
    <n v="21.75"/>
    <s v="IMS"/>
    <s v="IMS"/>
    <n v="10"/>
    <s v="Service Owner - Expert - manager follow this link "/>
    <s v="Not Applicable"/>
    <m/>
    <d v="2023-11-17T00:00:00"/>
    <s v="V0.6"/>
    <d v="2023-11-17T00:00:00"/>
    <n v="1"/>
    <n v="0.08"/>
    <s v="IMS"/>
    <m/>
    <x v="0"/>
  </r>
  <r>
    <x v="332"/>
    <x v="0"/>
    <s v="Public_Cloud"/>
    <s v="DOTNET--IIS (New)"/>
    <x v="81"/>
    <x v="5"/>
    <x v="269"/>
    <s v="Steps are performed by Middleware WEB  &amp; cloudops teams_x000a_Decommision the Scale website in both UAT and Prod environment_x000a__x000a_Co-ordination Activity: _x000a_Requirement gathering from application teams_x000a_Implementation activity _x000a__x000a_Request GitHub ID from vendor_x000a_Remove Teams and removing vendors_x000a_Remove project in GitHub (Remove secrets &amp; workflow, Wiki page for code scanning)_x000a_Remove the keypair on GitHub &amp; Openshift_x000a_Remove the service account and role binding in OpenShift_x000a_Remove CloudFront_x000a_Delete public route"/>
    <s v="Not Applicable"/>
    <s v="Not Applicable"/>
    <s v="Not Applicable"/>
    <s v="Per site deletion"/>
    <n v="21.75"/>
    <s v="IMS"/>
    <s v="IMS"/>
    <n v="10"/>
    <s v="Service Owner - Expert - manager follow this link "/>
    <s v="Not Applicable"/>
    <m/>
    <d v="2023-11-17T00:00:00"/>
    <s v="V0.6"/>
    <d v="2023-11-17T00:00:00"/>
    <n v="1"/>
    <n v="0.08"/>
    <s v="IMS"/>
    <m/>
    <x v="0"/>
  </r>
  <r>
    <x v="333"/>
    <x v="0"/>
    <s v="On_Prem/ Cloud"/>
    <s v="Backup"/>
    <x v="83"/>
    <x v="7"/>
    <x v="270"/>
    <s v="Co-ordination Activity:_x000a_Requirement gathering from Backup team and Network team._x000a_Implementation Activity:_x000a_Finding the vlan of backup devices._x000a_LACP configuration_x000a_Switch port configuration."/>
    <s v="Not Applicable"/>
    <s v="Not Applicable"/>
    <s v="Not Applicable"/>
    <s v="per CI"/>
    <n v="21.75"/>
    <n v="7"/>
    <n v="152.25"/>
    <n v="3"/>
    <s v="Service Owner - Expert - manager follow this link "/>
    <s v="Not Applicable"/>
    <m/>
    <d v="2023-11-17T00:00:00"/>
    <s v="V0.6"/>
    <d v="2023-11-17T00:00:00"/>
    <n v="1"/>
    <n v="0.08"/>
    <n v="140.07"/>
    <m/>
    <x v="1"/>
  </r>
  <r>
    <x v="334"/>
    <x v="0"/>
    <s v="On_Prem/ Cloud"/>
    <s v="Backup"/>
    <x v="83"/>
    <x v="7"/>
    <x v="271"/>
    <s v="Implementation Activity:_x000a_Capcity planing _x000a_Check the compatibility _x000a_.Net frimwork_x000a_Server Configuration_x000a_Check Standard SOP_x000a_Defining new name_x000a_VLAN and Network Data Flow"/>
    <s v="Not Applicable"/>
    <s v="Not Applicable"/>
    <s v="Not Applicable"/>
    <s v="per CI"/>
    <n v="21.75"/>
    <n v="8"/>
    <n v="174"/>
    <n v="4"/>
    <s v="Service Owner - Expert - manager follow this link "/>
    <s v="Not Applicable"/>
    <m/>
    <d v="2023-11-17T00:00:00"/>
    <s v="V0.6"/>
    <d v="2023-11-17T00:00:00"/>
    <n v="1"/>
    <n v="0.08"/>
    <n v="160.08000000000001"/>
    <m/>
    <x v="1"/>
  </r>
  <r>
    <x v="335"/>
    <x v="0"/>
    <s v="On_Prem/ Cloud"/>
    <s v="Backup"/>
    <x v="83"/>
    <x v="10"/>
    <x v="272"/>
    <s v="Implementation Activity:_x000a_Download the software_x000a_.net firmwork installation_x000a_Install Master Server &amp; Hotfix_x000a_Add the new licenses file _x000a_Configure the Server(SMTP,Drbackup path &amp; SQL db)"/>
    <s v="Not Applicable"/>
    <s v="Not Applicable"/>
    <s v="Not Applicable"/>
    <s v="per CI"/>
    <n v="21.75"/>
    <n v="8"/>
    <n v="174"/>
    <n v="3"/>
    <s v="Service Owner - Expert - manager follow this link "/>
    <s v="Not Applicable"/>
    <m/>
    <d v="2023-11-17T00:00:00"/>
    <s v="V0.6"/>
    <d v="2023-11-17T00:00:00"/>
    <n v="1"/>
    <n v="0.08"/>
    <n v="160.08000000000001"/>
    <m/>
    <x v="1"/>
  </r>
  <r>
    <x v="336"/>
    <x v="0"/>
    <s v="On_Prem/ Cloud"/>
    <s v="Backup"/>
    <x v="83"/>
    <x v="10"/>
    <x v="273"/>
    <s v="Implementation Activity:_x000a_Download the software_x000a_.Net frimwork_x000a_Enable the MultiInstances_x000a_Install CommServe Failover package &amp; Hotfix_x000a_Configure the Serverfailover server ."/>
    <s v="Not Applicable"/>
    <s v="Not Applicable"/>
    <s v="Not Applicable"/>
    <s v="per CI"/>
    <n v="21.75"/>
    <n v="8"/>
    <n v="174"/>
    <n v="3"/>
    <s v="Service Owner - Expert - manager follow this link "/>
    <s v="Not Applicable"/>
    <m/>
    <d v="2023-11-17T00:00:00"/>
    <s v="V0.6"/>
    <d v="2023-11-17T00:00:00"/>
    <n v="1"/>
    <n v="0.08"/>
    <n v="160.08000000000001"/>
    <m/>
    <x v="1"/>
  </r>
  <r>
    <x v="337"/>
    <x v="0"/>
    <s v="On_Prem/ Cloud"/>
    <s v="Backup"/>
    <x v="83"/>
    <x v="10"/>
    <x v="274"/>
    <s v="Implementation Activity:_x000a_Download the software_x000a_Requirement gathering ._x000a_Install IIS &amp; .net_x000a_Firewall ports_x000a_Configuration"/>
    <s v="Not Applicable"/>
    <s v="Not Applicable"/>
    <s v="Not Applicable"/>
    <s v="per CI"/>
    <n v="21.75"/>
    <n v="6"/>
    <n v="130.5"/>
    <n v="3"/>
    <s v="Service Owner - Expert - manager follow this link "/>
    <s v="Not Applicable"/>
    <m/>
    <d v="2023-11-17T00:00:00"/>
    <s v="V0.6"/>
    <d v="2023-11-17T00:00:00"/>
    <n v="1"/>
    <n v="0.08"/>
    <n v="120.06"/>
    <m/>
    <x v="1"/>
  </r>
  <r>
    <x v="338"/>
    <x v="0"/>
    <s v="On_Prem/ Cloud"/>
    <s v="Backup"/>
    <x v="83"/>
    <x v="7"/>
    <x v="275"/>
    <s v="Implementation Activity:_x000a_Check the compatibility _x000a_Download the software_x000a_Define new name_x000a_VLAN and Network Data Flow_x000a_"/>
    <s v="Not Applicable"/>
    <s v="Not Applicable"/>
    <s v="Not Applicable"/>
    <s v="per CI"/>
    <n v="21.75"/>
    <n v="8"/>
    <n v="174"/>
    <n v="3"/>
    <s v="Service Owner - Expert - manager follow this link "/>
    <s v="Not Applicable"/>
    <m/>
    <d v="2023-11-17T00:00:00"/>
    <s v="V0.6"/>
    <d v="2023-11-17T00:00:00"/>
    <n v="1"/>
    <n v="0.08"/>
    <n v="160.08000000000001"/>
    <m/>
    <x v="1"/>
  </r>
  <r>
    <x v="339"/>
    <x v="0"/>
    <s v="On_Prem/ Cloud"/>
    <s v="Backup"/>
    <x v="83"/>
    <x v="10"/>
    <x v="276"/>
    <s v="Install the MA angent based name_x000a_DNS request, Storage and MA configuration for each Storeonce Catalyst 6 H_x000a_-------------------------------------------------_x000a_Monitoring setup and reporting for each site 2h_x000a_"/>
    <s v="Not Applicable"/>
    <s v="Not Applicable"/>
    <s v="Not Applicable"/>
    <s v="Per CI"/>
    <n v="21.75"/>
    <n v="8"/>
    <n v="174"/>
    <n v="3"/>
    <s v="Service Owner - Expert - manager follow this link "/>
    <s v="Not Applicable"/>
    <m/>
    <d v="2023-11-17T00:00:00"/>
    <s v="V0.6"/>
    <d v="2023-11-17T00:00:00"/>
    <n v="1"/>
    <n v="0.08"/>
    <n v="160.08000000000001"/>
    <m/>
    <x v="1"/>
  </r>
  <r>
    <x v="340"/>
    <x v="0"/>
    <s v="On_Prem/ Cloud"/>
    <s v="Backup"/>
    <x v="83"/>
    <x v="10"/>
    <x v="277"/>
    <s v="Initial Configuration_x000a_SNMP and Splunk setup =&gt;5,5h_x000a_-------------------------------------------------------------------_x000a_DNS Request_x000a_Network configuration &amp; Troubleshooting =&gt; 8H_x000a_-------------------------------------------------------------------_x000a_Catalyst Creation and Configuration for 1st time=&gt; 4H"/>
    <s v="Not Applicable"/>
    <s v="Not Applicable"/>
    <s v="Not Applicable"/>
    <s v="per CI"/>
    <n v="21.75"/>
    <n v="17.5"/>
    <n v="380.625"/>
    <n v="7"/>
    <s v="Service Owner - Expert - manager follow this link "/>
    <s v="Not Applicable"/>
    <m/>
    <d v="2023-11-17T00:00:00"/>
    <s v="V0.6"/>
    <d v="2023-11-17T00:00:00"/>
    <n v="1"/>
    <n v="0.08"/>
    <n v="350.17500000000001"/>
    <m/>
    <x v="1"/>
  </r>
  <r>
    <x v="341"/>
    <x v="0"/>
    <s v="On_Prem/ Cloud"/>
    <s v="Backup"/>
    <x v="83"/>
    <x v="10"/>
    <x v="278"/>
    <s v="Agent Installation_x000a_Check Port Open &amp; ENC_x000a_Planning of Schedule_x000a_Exclusion Policy_x000a_Capacity "/>
    <s v="Not Applicable"/>
    <s v="https://sanofiservices.service-now.com/onesupport?id=sc_cat_item_guide&amp;table=sc_cat_item&amp;sys_id=f4dc65b0dbf1b7c8bb471923059619ed"/>
    <s v="Not Applicable"/>
    <s v="Per CI"/>
    <n v="21.75"/>
    <n v="8"/>
    <n v="174"/>
    <n v="7"/>
    <s v="Service Owner - Expert - manager follow this link "/>
    <s v="Not Applicable"/>
    <m/>
    <d v="2023-11-17T00:00:00"/>
    <s v="V0.6"/>
    <d v="2023-11-17T00:00:00"/>
    <n v="1"/>
    <n v="0.08"/>
    <n v="160.08000000000001"/>
    <m/>
    <x v="1"/>
  </r>
  <r>
    <x v="342"/>
    <x v="0"/>
    <s v="On_Prem/ Cloud"/>
    <s v="Backup"/>
    <x v="83"/>
    <x v="10"/>
    <x v="279"/>
    <s v="Storeonce =&gt; 5H_x000a_--------------------------------------_x000a_Media Server =&gt;2,5 H"/>
    <s v="Not Applicable"/>
    <s v="Not Applicable"/>
    <s v="Not Applicable"/>
    <s v="Per CI"/>
    <n v="21.75"/>
    <n v="7.5"/>
    <n v="163.125"/>
    <n v="3"/>
    <s v="Service Owner - Expert - manager follow this link "/>
    <s v="Not Applicable"/>
    <m/>
    <d v="2023-11-17T00:00:00"/>
    <s v="V0.6"/>
    <d v="2023-11-17T00:00:00"/>
    <n v="1"/>
    <n v="0.08"/>
    <n v="150.07499999999999"/>
    <m/>
    <x v="1"/>
  </r>
  <r>
    <x v="343"/>
    <x v="0"/>
    <s v="On_Prem/ Cloud"/>
    <s v="Backup"/>
    <x v="83"/>
    <x v="10"/>
    <x v="280"/>
    <s v="Download the software_x000a_Defining new name_x000a_Installation of software_x000a_license addition_x000a_CIFS Share mapping_x000a_Storage Policy and initial configuration Setup_x000a_User group and Policy creation and Monitoring Setup"/>
    <s v="Not Applicable"/>
    <s v="Not Applicable"/>
    <s v="Not Applicable"/>
    <s v="Per CI"/>
    <n v="21.75"/>
    <n v="8"/>
    <n v="174"/>
    <n v="4"/>
    <s v="Service Owner - Expert - manager follow this link "/>
    <s v="Not Applicable"/>
    <m/>
    <d v="2023-11-17T00:00:00"/>
    <s v="V0.6"/>
    <d v="2023-11-17T00:00:00"/>
    <n v="1"/>
    <n v="0.08"/>
    <n v="160.08000000000001"/>
    <m/>
    <x v="1"/>
  </r>
  <r>
    <x v="344"/>
    <x v="0"/>
    <s v="On_Prem/ Cloud"/>
    <s v="Backup"/>
    <x v="83"/>
    <x v="8"/>
    <x v="281"/>
    <s v="Plan and Coordinate with Site Team_x000a_Create &amp; Schedule the change_x000a_Create a Blackout window for avoiding the tickets._x000a_Suspend All Scheduled Backups and Adhoc jobs using the infra_x000a_Stop the commvault services on Media &amp; Master server_x000a_Shutdown the commvault media servers and Storeonce._x000a_Phyisical movement of the above servers and devices._x000a_Start the commvault servers and Storeonce device and make sure all the services are up._x000a_Resume all the suspended jobs and adhoc ones._x000a_Remove the Blackout of creating tickets"/>
    <s v="Not Applicable"/>
    <s v="Not Applicable"/>
    <s v="Not Applicable"/>
    <s v="Per Site"/>
    <n v="21.75"/>
    <n v="24"/>
    <n v="522"/>
    <n v="15"/>
    <s v="Service Owner - Expert - manager follow this link "/>
    <s v="Not Applicable"/>
    <m/>
    <d v="2023-11-17T00:00:00"/>
    <s v="V0.6"/>
    <d v="2023-11-17T00:00:00"/>
    <n v="1"/>
    <n v="0.08"/>
    <n v="480.24"/>
    <m/>
    <x v="1"/>
  </r>
  <r>
    <x v="345"/>
    <x v="0"/>
    <s v="On_Prem/ Cloud"/>
    <s v="Backup"/>
    <x v="83"/>
    <x v="12"/>
    <x v="282"/>
    <s v="Get the downtime from the stakeholders_x000a_check with vendor for the compatibility matrix_x000a_Open a proactive case before the change schedule_x000a_create change and make sure all approvals are attached._x000a_Implement the upgrade"/>
    <s v="Not Applicable"/>
    <s v="Not Applicable"/>
    <s v="Not Applicable"/>
    <s v="Per CI"/>
    <n v="21.75"/>
    <n v="8"/>
    <n v="174"/>
    <n v="7"/>
    <s v="Service Owner - Expert - manager follow this link "/>
    <s v="Not Applicable"/>
    <m/>
    <d v="2023-11-17T00:00:00"/>
    <s v="V0.6"/>
    <d v="2023-11-17T00:00:00"/>
    <n v="1"/>
    <n v="0.08"/>
    <n v="160.08000000000001"/>
    <m/>
    <x v="1"/>
  </r>
  <r>
    <x v="346"/>
    <x v="0"/>
    <s v="On_Prem/ Cloud"/>
    <s v="Backup"/>
    <x v="83"/>
    <x v="5"/>
    <x v="283"/>
    <s v="Requirement gathering_x000a_Coordination with ITS, Network, Proximity and CMDB Team_x000a_change creation and all approval "/>
    <s v="Not Applicable"/>
    <s v="Not Applicable"/>
    <s v="Not Applicable"/>
    <s v="Per CI"/>
    <n v="21.75"/>
    <s v="IMS"/>
    <s v="IMS"/>
    <n v="7"/>
    <s v="Service Owner - Expert - manager follow this link "/>
    <s v="Not Applicable"/>
    <m/>
    <d v="2023-11-17T00:00:00"/>
    <s v="V0.6"/>
    <d v="2023-11-17T00:00:00"/>
    <n v="1"/>
    <n v="0.08"/>
    <s v="IMS"/>
    <m/>
    <x v="0"/>
  </r>
  <r>
    <x v="347"/>
    <x v="0"/>
    <s v="On_Prem/ Cloud"/>
    <s v="Backup"/>
    <x v="83"/>
    <x v="0"/>
    <x v="284"/>
    <s v="Identifying the AWS account number or Azure resource group or GCP Project code_x000a_check the Metal SLA from AO or requester_x000a_Configure the backup as required only for AWS and GCP._x000a_For Azure need to inform to Mobiz"/>
    <s v="Not Applicable"/>
    <s v="https://sanofiservices.service-now.com/onesupport?id=sc_cat_item_guide&amp;table=sc_cat_item&amp;sys_id=f4dc65b0dbf1b7c8bb471923059619ed"/>
    <s v="Not Applicable"/>
    <s v="Per CI"/>
    <n v="21.75"/>
    <s v="IMS"/>
    <s v="IMS"/>
    <n v="3"/>
    <s v="Service Owner - Expert - manager follow this link "/>
    <s v="Not Applicable"/>
    <m/>
    <d v="2023-11-17T00:00:00"/>
    <s v="V0.6"/>
    <d v="2023-11-17T00:00:00"/>
    <n v="1"/>
    <n v="0.08"/>
    <s v="IMS"/>
    <m/>
    <x v="0"/>
  </r>
  <r>
    <x v="348"/>
    <x v="0"/>
    <s v="On_Prem/ Cloud"/>
    <s v="Backup"/>
    <x v="83"/>
    <x v="1"/>
    <x v="282"/>
    <s v="Get the downtime from the stakeholders_x000a_check with vendor for the compatibility matrix_x000a_Open a proactive case before the change schedule_x000a_create change and make sure all approvals are attached._x000a_Implement the upgrade"/>
    <s v="Not Applicable"/>
    <s v="Not Applicable"/>
    <s v="Not Applicable"/>
    <s v="Per CI"/>
    <n v="21.75"/>
    <s v="IMS"/>
    <s v="IMS"/>
    <n v="3"/>
    <s v="Service Owner - Expert - manager follow this link "/>
    <s v="Not Applicable"/>
    <m/>
    <d v="2023-11-17T00:00:00"/>
    <s v="V0.6"/>
    <d v="2023-11-17T00:00:00"/>
    <n v="1"/>
    <n v="0.08"/>
    <s v="IMS"/>
    <m/>
    <x v="0"/>
  </r>
  <r>
    <x v="349"/>
    <x v="0"/>
    <s v="On_Prem/ Cloud"/>
    <s v="Backup"/>
    <x v="83"/>
    <x v="0"/>
    <x v="285"/>
    <s v="Report Creation Per site_x000a_identify the DL and to list for the Report_x000a_make sure all the failures are listed in the Backup Report"/>
    <s v="Not Applicable"/>
    <s v="Not Applicable"/>
    <s v="Not Applicable"/>
    <s v="Per Request"/>
    <n v="21.75"/>
    <s v="IMS"/>
    <s v="IMS"/>
    <n v="3"/>
    <s v="Service Owner - Expert - manager follow this link "/>
    <s v="Not Applicable"/>
    <m/>
    <d v="2023-11-17T00:00:00"/>
    <s v="V0.6"/>
    <d v="2023-11-17T00:00:00"/>
    <n v="1"/>
    <n v="0.08"/>
    <s v="IMS"/>
    <m/>
    <x v="0"/>
  </r>
  <r>
    <x v="350"/>
    <x v="0"/>
    <s v="On_Prem/ Cloud"/>
    <s v="Backup"/>
    <x v="83"/>
    <x v="14"/>
    <x v="286"/>
    <s v="Coordiante with DR and RT team to make sure prechecks are satisfied._x000a_Planning &amp; Coordination_x000a_Make sure if any anomaly is there to remediate before the activity_x000a_Perform the RT test and provide all the artifacts."/>
    <s v="Not Applicable"/>
    <s v="Not Applicable"/>
    <s v="Not Applicable"/>
    <s v="Per Application"/>
    <n v="21.75"/>
    <s v="IMS"/>
    <s v="IMS"/>
    <n v="15"/>
    <s v="Service Owner - Expert - manager follow this link "/>
    <s v="Not Applicable"/>
    <m/>
    <d v="2023-11-17T00:00:00"/>
    <s v="V0.6"/>
    <d v="2023-11-17T00:00:00"/>
    <n v="1"/>
    <n v="0.08"/>
    <s v="IMS"/>
    <m/>
    <x v="0"/>
  </r>
  <r>
    <x v="351"/>
    <x v="0"/>
    <s v="On_Prem/ Cloud"/>
    <s v="ETL--Informatica"/>
    <x v="84"/>
    <x v="7"/>
    <x v="287"/>
    <s v="Depolying IICS Assets from one org to another and tunning"/>
    <s v="https://sanofiservices.service-now.com/onesupport?id=sc_cat_item&amp;table=sc_cat_item&amp;sys_id=3399b696db39070005ea766eaf9619a8"/>
    <s v="Not Applicable"/>
    <s v="Not Applicable"/>
    <s v="Per Deployment"/>
    <n v="21.75"/>
    <n v="3"/>
    <n v="65.25"/>
    <n v="3"/>
    <s v="Service Owner - Expert - manager follow this link "/>
    <s v="Not Applicable"/>
    <m/>
    <d v="2023-11-17T00:00:00"/>
    <s v="V0.6"/>
    <d v="2023-11-17T00:00:00"/>
    <n v="1"/>
    <n v="0.08"/>
    <n v="60.03"/>
    <m/>
    <x v="1"/>
  </r>
  <r>
    <x v="352"/>
    <x v="0"/>
    <s v="On_Prem/ Cloud"/>
    <s v="Backup"/>
    <x v="83"/>
    <x v="3"/>
    <x v="286"/>
    <s v="Coordiante with DR and RT team to make sure prechecks are satisfied._x000a_Planning &amp; Coordination_x000a_Make sure if any anomaly is there to remediate before the activity_x000a_Perform the RT test and provide all the artifacts."/>
    <s v="Not Applicable"/>
    <s v="Not Applicable"/>
    <s v="Not Applicable"/>
    <s v="Per Application"/>
    <n v="21.75"/>
    <s v="IMS"/>
    <s v="IMS"/>
    <n v="15"/>
    <s v="Service Owner - Expert - manager follow this link "/>
    <s v="Not Applicable"/>
    <m/>
    <d v="2023-11-17T00:00:00"/>
    <s v="V0.6"/>
    <d v="2023-11-17T00:00:00"/>
    <n v="1"/>
    <n v="0.08"/>
    <s v="IMS"/>
    <m/>
    <x v="0"/>
  </r>
  <r>
    <x v="353"/>
    <x v="0"/>
    <s v="On_Prem/ Cloud"/>
    <s v="ETL--Informatica"/>
    <x v="84"/>
    <x v="13"/>
    <x v="288"/>
    <s v="Appling the bug fix provided by informatica vendor and perform inhouse testing"/>
    <s v="https://sanofiservices.service-now.com/onesupport?id=sc_cat_item&amp;table=sc_cat_item&amp;sys_id=3399b696db39070005ea766eaf9619a8"/>
    <s v="Not Applicable"/>
    <s v="Not Applicable"/>
    <s v="Per Deployment"/>
    <m/>
    <s v="IMS "/>
    <s v="IMS"/>
    <n v="3"/>
    <s v="Service Owner - Expert - manager follow this link "/>
    <s v="Not Applicable"/>
    <m/>
    <d v="2023-11-17T00:00:00"/>
    <s v="V0.6"/>
    <d v="2023-11-17T00:00:00"/>
    <n v="1"/>
    <n v="0.08"/>
    <s v="IMS"/>
    <m/>
    <x v="0"/>
  </r>
  <r>
    <x v="354"/>
    <x v="0"/>
    <s v="On_Prem/ Cloud"/>
    <s v="Backup"/>
    <x v="83"/>
    <x v="7"/>
    <x v="289"/>
    <s v="Implementation Activity:_x000a_- Planning and Discussion with Site =&gt; 2H_x000a_-------------------------------------------------_x000a_- ENC Request Raise and following up with site team to give proper justification =&gt; 8H_x000a_-------------------------------------------------_x000a_- VLAN and Upgradation =&gt; 6H"/>
    <s v="Not Applicable"/>
    <s v="Not Applicable"/>
    <s v="Not Applicable"/>
    <s v="per CI"/>
    <n v="21.75"/>
    <n v="16"/>
    <n v="348"/>
    <n v="15"/>
    <s v="Service Owner - Expert - manager follow this link "/>
    <s v="Not Applicable"/>
    <m/>
    <d v="2023-11-17T00:00:00"/>
    <s v="V0.6"/>
    <d v="2023-11-17T00:00:00"/>
    <n v="1"/>
    <n v="0.08"/>
    <n v="320.16000000000003"/>
    <m/>
    <x v="1"/>
  </r>
  <r>
    <x v="355"/>
    <x v="0"/>
    <s v="On_Prem/ Cloud"/>
    <s v="Backup"/>
    <x v="83"/>
    <x v="7"/>
    <x v="290"/>
    <s v="Hardware and OS install by Server teams_x000a_Check the compatibility _x000a_VLAN /network check _x000a_ENC check with Target Store_x000a_CIFS Share Creation"/>
    <s v="Not Applicable"/>
    <s v="Not Applicable"/>
    <s v="Not Applicable"/>
    <s v="Per CI"/>
    <n v="21.75"/>
    <n v="6"/>
    <n v="130.5"/>
    <n v="3"/>
    <s v="Service Owner - Expert - manager follow this link "/>
    <s v="Not Applicable"/>
    <m/>
    <d v="2023-11-17T00:00:00"/>
    <s v="V0.6"/>
    <d v="2023-11-17T00:00:00"/>
    <n v="1"/>
    <n v="0.08"/>
    <n v="120.06"/>
    <m/>
    <x v="1"/>
  </r>
  <r>
    <x v="356"/>
    <x v="0"/>
    <s v="On_Prem/ Cloud"/>
    <s v="Backup"/>
    <x v="83"/>
    <x v="8"/>
    <x v="291"/>
    <s v="CMDB Check_x000a_Backup Policy Check_x000a_Discussion with Site =&gt; 8H_x000a_-----------------------------------------------------------------_x000a_Network Assessment of Data flow and understanding of new requirement =&gt;8H"/>
    <s v="Not Applicable"/>
    <s v="Not Applicable"/>
    <s v="Not Applicable"/>
    <s v="Per Site"/>
    <n v="21.75"/>
    <n v="16"/>
    <n v="348"/>
    <n v="3"/>
    <s v="Service Owner - Expert - manager follow this link "/>
    <s v="Not Applicable"/>
    <m/>
    <d v="2023-11-17T00:00:00"/>
    <s v="V0.6"/>
    <d v="2023-11-17T00:00:00"/>
    <n v="1"/>
    <n v="0.08"/>
    <n v="320.16000000000003"/>
    <m/>
    <x v="1"/>
  </r>
  <r>
    <x v="357"/>
    <x v="0"/>
    <s v="On_Prem/ Cloud"/>
    <s v="Backup"/>
    <x v="83"/>
    <x v="8"/>
    <x v="292"/>
    <s v="Discussion and Planning of Capacity_x000a_SnapMirror and Sanpvault license check_x000a_Netapp Services check (RPC,NFS..etc)_x000a_Peering check in AIQUM side_x000a_ENC Request_x000a_Configuration of onPrem and CVO_x000a_Storage Policy Creation_x000a_Monitoring and HyperCare troubleshooting"/>
    <s v="Not Applicable"/>
    <s v="Not Applicable"/>
    <s v="Not Applicable"/>
    <s v="Per FS\Volume"/>
    <n v="21.75"/>
    <n v="1"/>
    <n v="21.75"/>
    <n v="3"/>
    <s v="Service Owner - Expert - manager follow this link "/>
    <s v="Not Applicable"/>
    <m/>
    <d v="2023-11-17T00:00:00"/>
    <s v="V0.6"/>
    <d v="2023-11-17T00:00:00"/>
    <n v="1"/>
    <n v="0.08"/>
    <n v="20.010000000000002"/>
    <m/>
    <x v="1"/>
  </r>
  <r>
    <x v="358"/>
    <x v="0"/>
    <s v="On_Prem/ Cloud"/>
    <s v="Backup"/>
    <x v="83"/>
    <x v="8"/>
    <x v="293"/>
    <s v="Image Backup_x000a_ENC request _x000a_VLAN Network check _x000a_Storage policy creation_x000a__x000a_-------------------------------------------_x000a_Agent Installation_x000a_Check Port Open_x000a_Planning of Schedule_x000a_Storage policy creation_x000a_Exclusion Policy_x000a_"/>
    <s v="Not Applicable"/>
    <s v="Not Applicable"/>
    <s v="Not Applicable"/>
    <s v="Per CI"/>
    <n v="21.75"/>
    <n v="4"/>
    <n v="87"/>
    <n v="3"/>
    <s v="Service Owner - Expert - manager follow this link "/>
    <s v="Not Applicable"/>
    <m/>
    <d v="2023-11-17T00:00:00"/>
    <s v="V0.6"/>
    <d v="2023-11-17T00:00:00"/>
    <n v="1"/>
    <n v="0.08"/>
    <n v="80.040000000000006"/>
    <m/>
    <x v="1"/>
  </r>
  <r>
    <x v="359"/>
    <x v="0"/>
    <s v="On_Prem/ Cloud"/>
    <s v="Backup"/>
    <x v="83"/>
    <x v="8"/>
    <x v="294"/>
    <s v="Image Backup_x000a_ENC request _x000a_VLAN Network check _x000a_Storage policy creation_x000a__x000a_-------------------------------------------_x000a_Agent Installation_x000a_Check Port Open_x000a_Planning of Schedule_x000a_Storage policy creation_x000a_Exclusion Policy_x000a_"/>
    <s v="Not Applicable"/>
    <s v="Not Applicable"/>
    <s v="Not Applicable"/>
    <s v="Per CI"/>
    <n v="21.75"/>
    <n v="1"/>
    <n v="21.75"/>
    <n v="3"/>
    <s v="Service Owner - Expert - manager follow this link "/>
    <s v="Not Applicable"/>
    <m/>
    <d v="2023-11-17T00:00:00"/>
    <s v="V0.6"/>
    <d v="2023-11-17T00:00:00"/>
    <n v="1"/>
    <n v="0.08"/>
    <n v="20.010000000000002"/>
    <m/>
    <x v="1"/>
  </r>
  <r>
    <x v="360"/>
    <x v="0"/>
    <s v="On_Prem/ Cloud"/>
    <s v="Backup"/>
    <x v="83"/>
    <x v="14"/>
    <x v="295"/>
    <s v="For new application or Post Migration to Cloud_x000a_Planning &amp; Coordination_x000a_Discussion with application owner_x000a_ENC or troubleshooting if required_x000a_Feasibility Check"/>
    <s v="Not Applicable"/>
    <s v="Not Applicable"/>
    <s v="Not Applicable"/>
    <s v="Per Application"/>
    <n v="21.75"/>
    <n v="8"/>
    <n v="174"/>
    <n v="15"/>
    <s v="Service Owner - Expert - manager follow this link "/>
    <s v="Not Applicable"/>
    <m/>
    <d v="2023-11-17T00:00:00"/>
    <s v="V0.6"/>
    <d v="2023-11-17T00:00:00"/>
    <n v="1"/>
    <n v="0.08"/>
    <n v="160.08000000000001"/>
    <m/>
    <x v="1"/>
  </r>
  <r>
    <x v="361"/>
    <x v="0"/>
    <s v="On_Prem"/>
    <s v="ETL--Informatica"/>
    <x v="85"/>
    <x v="13"/>
    <x v="296"/>
    <s v="Appling the bug fix provided by informatica vendorfor MDM  and perform inhouse testing"/>
    <s v="https://sanofiservices.service-now.com/onesupport?id=sc_cat_item&amp;table=sc_cat_item&amp;sys_id=3399b696db39070005ea766eaf9619a8"/>
    <s v="Not Applicable"/>
    <s v="Not Applicable"/>
    <s v="Per Deployment"/>
    <m/>
    <s v="IMS "/>
    <s v="IMS"/>
    <n v="3"/>
    <s v="Service Owner - Expert - manager follow this link "/>
    <s v="Not Applicable"/>
    <m/>
    <d v="2023-11-17T00:00:00"/>
    <s v="V0.6"/>
    <d v="2023-11-17T00:00:00"/>
    <n v="1"/>
    <n v="0.08"/>
    <s v="IMS"/>
    <m/>
    <x v="0"/>
  </r>
  <r>
    <x v="362"/>
    <x v="0"/>
    <s v="On_Prem/ Cloud"/>
    <s v="Backup"/>
    <x v="83"/>
    <x v="5"/>
    <x v="297"/>
    <s v="Requirement gathering_x000a_Coordination with ITS, Network, Proximity and CMDB Team_x000a_change creation and all approval =&gt; 8H_x000a_--------------------------------------------------------------------------_x000a_Reporting Deletion,_x000a_Modifying existing Storage Policies,_x000a_Destroy Existing Config =&gt; 8H _x000a_--------------------------------------------------------------------------_x000a_Network Configuration _x000a_Sanitizing and Hyper care monitoring till Data expires =&gt; 8H"/>
    <s v="Not Applicable"/>
    <s v="Not Applicable"/>
    <s v="Not Applicable"/>
    <s v="Per CI"/>
    <n v="21.75"/>
    <s v="IMS"/>
    <s v="IMS"/>
    <n v="56"/>
    <s v="Service Owner - Expert - manager follow this link "/>
    <s v="Not Applicable"/>
    <m/>
    <d v="2023-11-17T00:00:00"/>
    <s v="V0.6"/>
    <d v="2023-11-17T00:00:00"/>
    <n v="1"/>
    <n v="0.08"/>
    <s v="IMS"/>
    <m/>
    <x v="0"/>
  </r>
  <r>
    <x v="363"/>
    <x v="0"/>
    <s v="On_Prem/ Cloud"/>
    <s v="Backup"/>
    <x v="83"/>
    <x v="5"/>
    <x v="298"/>
    <s v="Uninstall Agent _x000a_"/>
    <s v="Not Applicable"/>
    <s v="Not Applicable"/>
    <s v="Not Applicable"/>
    <s v="Per CI"/>
    <n v="21.75"/>
    <s v="IMS "/>
    <s v="IMS"/>
    <n v="3"/>
    <s v="Service Owner - Expert - manager follow this link "/>
    <s v="Not Applicable"/>
    <m/>
    <d v="2023-11-17T00:00:00"/>
    <s v="V0.6"/>
    <d v="2023-11-17T00:00:00"/>
    <n v="1"/>
    <n v="0.08"/>
    <s v="IMS"/>
    <m/>
    <x v="0"/>
  </r>
  <r>
    <x v="364"/>
    <x v="0"/>
    <s v="On_Prem"/>
    <s v="DB--Oracle"/>
    <x v="1"/>
    <x v="7"/>
    <x v="299"/>
    <s v="Co-ordination Activity: _x000a_Requirement gathering from application teams_x000a_Implementation activity : _x000a_Storage &amp; Unix :_x000a_- Meeting with the PTC  _x000a_- Define the IP address          _x000a_- Provide storage to the cluster         _x000a_- discover lun / Multipathing with Storage team _x000a_- Create FS (File system) on Linux Cluster_x000a_- Create resource and resource group on Linux _x000a_Cluster  _x000a_Oracle _x000a_- Install Oracel binaries _x000a_- Check Oracle prerequisite_x000a_- Create Oracle Database / CDB_x000a_- Install Oracle PDB_x000a_- Add the database on the grid/OEM- for OEM _x000a_- Integrate Oracle database_x000a_- Running QI documents                             _x000a_- HA Test along with Application team"/>
    <s v="Not Applicable"/>
    <s v="Not Applicable"/>
    <s v="Not Applicable"/>
    <s v="per database"/>
    <n v="21.75"/>
    <n v="28"/>
    <n v="609"/>
    <n v="10"/>
    <s v="Service Owner - Expert - manager follow this link "/>
    <s v="Not Applicable"/>
    <m/>
    <d v="2024-07-24T00:00:00"/>
    <s v="V2.0"/>
    <d v="2024-07-24T00:00:00"/>
    <n v="1"/>
    <n v="0.08"/>
    <n v="560.28"/>
    <m/>
    <x v="1"/>
  </r>
  <r>
    <x v="365"/>
    <x v="0"/>
    <s v="On_Prem"/>
    <s v="Network"/>
    <x v="40"/>
    <x v="7"/>
    <x v="300"/>
    <s v="Config. Preparation_x000a_Get Network L4, Cyber Sec. approvals_x000a_Implementation activity _x000b_Pre-backup (Firewall &amp; Network devices - Network Data &amp; sec team)_x000b_VLAN creation/ Static route /Interface creation (Firewall &amp; Network devices - Network Data &amp; sec team)_x000b_WAN Advertisement_x000b_DHCP scope_x000b_Post-backup (Firewall &amp; Network devices - Network Data &amp; sec team)_x000b_Post validation (4 Eye check)(Firewall &amp; Network devices - Network Data &amp; sec team)_x000b_Interface assignment and Analysis in Algosec Tool (Firewall - Network Sec team)_x000b_closing change"/>
    <s v="Not Applicable"/>
    <s v="Not Applicable"/>
    <s v="Not Applicable"/>
    <s v="Max 3 Vlans Per site ( Separate request for different site )"/>
    <n v="21.75"/>
    <n v="11"/>
    <n v="239.25"/>
    <n v="7"/>
    <s v="Service Owner - Expert - manager follow this link "/>
    <s v="Not Applicable"/>
    <m/>
    <d v="2024-07-24T00:00:00"/>
    <s v="V2.0"/>
    <d v="2024-07-24T00:00:00"/>
    <n v="1"/>
    <n v="0.08"/>
    <n v="220.11"/>
    <m/>
    <x v="1"/>
  </r>
  <r>
    <x v="366"/>
    <x v="0"/>
    <s v="On_Prem"/>
    <s v="DB--Oracle"/>
    <x v="1"/>
    <x v="8"/>
    <x v="301"/>
    <s v="L3 Activities: _x000a_Plan A: Migrate using Export/Import (traditional export/Datapump)_x000a_- Create database in target host -2_x000a_- Take backup and apply the backup in target database 2_x000a_Plan B: Migrate using RMAN Backup _x000a_- Create database instance in target server -2 _x000a_- Apply the backup in the target database -2"/>
    <s v="Not Applicable"/>
    <s v="Not Applicable"/>
    <s v="Not Applicable"/>
    <s v="per database"/>
    <n v="21.75"/>
    <n v="4"/>
    <n v="87"/>
    <n v="10"/>
    <s v="Service Owner - Expert - manager follow this link "/>
    <s v="Not Applicable"/>
    <m/>
    <d v="2024-07-24T00:00:00"/>
    <s v="V2.0"/>
    <d v="2024-07-24T00:00:00"/>
    <n v="1"/>
    <n v="0.08"/>
    <n v="80.040000000000006"/>
    <m/>
    <x v="1"/>
  </r>
  <r>
    <x v="367"/>
    <x v="0"/>
    <s v="On_Prem"/>
    <s v="DB--Oracle"/>
    <x v="1"/>
    <x v="8"/>
    <x v="302"/>
    <s v="L3 Activities: _x000a_Plan A: Migrate using Export/Import (traditional export/Datapump)_x000a_- Create database in target host -2_x000a_- Take backup and apply the backup in target database 2_x000a_Plan B: Migrate using RMAN Backup _x000a_- Create database instance in target server -2 _x000a_- Apply the backup in the target database -2"/>
    <s v="Not Applicable"/>
    <s v="Not Applicable"/>
    <s v="Not Applicable"/>
    <s v="per database"/>
    <n v="21.75"/>
    <n v="10"/>
    <n v="217.5"/>
    <n v="10"/>
    <s v="Service Owner - Expert - manager follow this link "/>
    <s v="Not Applicable"/>
    <m/>
    <d v="2024-07-24T00:00:00"/>
    <s v="V2.0"/>
    <d v="2024-07-24T00:00:00"/>
    <n v="1"/>
    <n v="0.08"/>
    <n v="200.1"/>
    <m/>
    <x v="1"/>
  </r>
  <r>
    <x v="368"/>
    <x v="0"/>
    <s v="On_Prem"/>
    <s v="DB--Oracle"/>
    <x v="1"/>
    <x v="8"/>
    <x v="303"/>
    <s v="L3 Activities: _x000a_Plan A: Migrate using Export/Import (traditional export/Datapump)_x000a_- Create database in target host -2_x000a_- Take backup and apply the backup in target database 2_x000a_Plan B: Migrate using RMAN Backup _x000a_- Create database instance in target server -2 _x000a_- Apply the backup in the target database -2"/>
    <s v="Not Applicable"/>
    <s v="Not Applicable"/>
    <s v="Not Applicable"/>
    <s v="per database"/>
    <n v="21.75"/>
    <n v="20"/>
    <n v="435"/>
    <n v="10"/>
    <s v="Service Owner - Expert - manager follow this link "/>
    <s v="Not Applicable"/>
    <m/>
    <d v="2024-07-24T00:00:00"/>
    <s v="V2.0"/>
    <d v="2024-07-24T00:00:00"/>
    <n v="1"/>
    <n v="0.08"/>
    <n v="400.2"/>
    <m/>
    <x v="1"/>
  </r>
  <r>
    <x v="369"/>
    <x v="0"/>
    <s v="On_Prem"/>
    <s v="Oracle "/>
    <x v="86"/>
    <x v="5"/>
    <x v="304"/>
    <s v="Co-ordination Activity: _x000a_Pre-requisite is to check if Application owner approval mail or SRP document is attached in the change to proceed futher_x000a_Implementation activity : 10hrs (7 hrs effort for database related works + 3 hrs for other team works)_x000a_1.we have to check whether mentioned oracle instance running or not _x000a_2.remove database from OEM if it is existing_x000a_3.Database will be shutdown and it will be under scream period for 7days_x000a_4.Unregister database from RMAN recovery catalog_x000a_5.decommission the database and modify the oratab file _x000a_6.remove (sys and system) account for database from bastion portal if existing_x000a_7.remove from OID _x000a_8.validation task _x000a_Note : Incase of RAC,Dataguard we have to decommission database from both nodes_x000a_***Action from other team members for decommissioning task*****_x000a_1.Remove database related jobs to be removed from the control m / VTOM._x000a_2.Remove Database from monitoring via splunk_x000a_3.Remove the Cluster configuration and disable_x000a_4.Remove File system attached to the database if existing after drop database_x000a_5.Update CMDB accordingly"/>
    <s v="Not Applicable"/>
    <s v="https://sanofiservices.service-now.com/onesupport?id=sc_cat_item_guide&amp;table=sc_cat_item&amp;sys_id=d6086578dba52894cff7043bd3961985"/>
    <s v="Not Applicable"/>
    <s v="per project space creation for environment. "/>
    <n v="21.75"/>
    <n v="10"/>
    <n v="217.5"/>
    <s v="10 (Incl 7 days of Scream test)"/>
    <s v="Service Owner - Expert - manager follow this link "/>
    <s v="Not Applicable"/>
    <m/>
    <d v="2025-03-12T00:00:00"/>
    <s v="V2.1"/>
    <d v="2025-03-12T00:00:00"/>
    <n v="0"/>
    <n v="0.08"/>
    <s v="IMS"/>
    <m/>
    <x v="0"/>
  </r>
  <r>
    <x v="370"/>
    <x v="0"/>
    <s v="On_Prem"/>
    <s v="DB"/>
    <x v="1"/>
    <x v="7"/>
    <x v="305"/>
    <s v="Co-ordination Activity:_x000a_Creation of Tablespace for the schema._x000a_Create Schema_x000a_Provide necessary grants to the schema_x000a_"/>
    <s v="Not Applicable"/>
    <s v="https://sanofiservices.service-now.com/onesupport?id=sc_cat_item_guide&amp;table=sc_cat_item&amp;sys_id=8ef52e074f098fc4cb48c0428110c701"/>
    <s v="Not Applicable"/>
    <s v="Per CI"/>
    <n v="21.75"/>
    <n v="1"/>
    <n v="21.75"/>
    <n v="3"/>
    <s v="Service Owner - Expert - manager follow this link "/>
    <s v="Not Applicable"/>
    <m/>
    <d v="2025-03-12T00:00:00"/>
    <s v="V2.1"/>
    <d v="2025-03-12T00:00:00"/>
    <n v="0"/>
    <n v="0"/>
    <n v="21.75"/>
    <m/>
    <x v="1"/>
  </r>
  <r>
    <x v="371"/>
    <x v="0"/>
    <s v="On Prem / Cloud"/>
    <s v="DB--Oracle"/>
    <x v="1"/>
    <x v="18"/>
    <x v="306"/>
    <s v="Prechecks _x000a_Check whether Prod and DR database are in sync - 30 mins_x000a_Check for database backup have completed before start of the DR activity. - 15 mins_x000a_Implementation_x000a_Switch over to the DR database. - 45 mins_x000a_After application team testing is completed. _x000a_Switch back db to Actual prod database - 45 mins_x000a_Post Check - 30 mins_x000a_Check database backup is completing it successfully. - 15 mins."/>
    <s v="Not Applicable"/>
    <s v="Oracle Operations"/>
    <s v="Not Applicable"/>
    <s v="Per CI"/>
    <n v="21.75"/>
    <n v="3"/>
    <n v="65.25"/>
    <n v="3"/>
    <s v="Service Owner - Expert - manager follow this link "/>
    <s v="Not Applicable"/>
    <m/>
    <d v="2025-03-12T00:00:00"/>
    <s v="V2.1"/>
    <d v="2025-03-12T00:00:00"/>
    <n v="0"/>
    <n v="0"/>
    <n v="65.25"/>
    <m/>
    <x v="1"/>
  </r>
  <r>
    <x v="372"/>
    <x v="0"/>
    <s v="On Prem / Cloud"/>
    <s v="DB--Oracle"/>
    <x v="1"/>
    <x v="7"/>
    <x v="307"/>
    <s v="_x000a_Pre requisite:_x000a_Get l3scripts/l3logs mounted if not already done (UNIX)_x000a_DB should be configured at commvault end._x000a_Port for Commvault and control-M should be open._x000a__x000a__x000a_Activity breakup:_x000a_Create a backup user,tablespace,  profile in the CDB -30 mins_x000a_Register the database in recovery catalog - 30 mins_x000a_Create rman.conf file -15 mins_x000a_Register DB in recovery catalog -15 mins_x000a_Test the archivelog/full/incremental backup - 3 hours_x000a_"/>
    <s v="Not Applicable"/>
    <s v="NA"/>
    <s v="Not Applicable"/>
    <s v="Per CI"/>
    <n v="21.75"/>
    <n v="4.3"/>
    <n v="93.524999999999991"/>
    <n v="5"/>
    <s v="Service Owner - Expert - manager follow this link "/>
    <s v="Not Applicable"/>
    <m/>
    <d v="2025-03-12T00:00:00"/>
    <s v="V2.1"/>
    <d v="2025-03-12T00:00:00"/>
    <n v="0"/>
    <n v="0"/>
    <n v="93.524999999999991"/>
    <m/>
    <x v="1"/>
  </r>
  <r>
    <x v="373"/>
    <x v="0"/>
    <s v="On Prem / Cloud"/>
    <s v="DB--Oracle"/>
    <x v="1"/>
    <x v="19"/>
    <x v="308"/>
    <s v="Backup and restore_x000a_Check whether both source and target database are getting backup regularly . -30 mins_x000a_Check required backup completed successfully - 15mins_x000a_Take required backup on target database before restore start._x000a_Restore database - 3hrs _x000a_Make sure required backup is restored and get conformation from application team.  -15 mins_x000a_If required rollback target database with its own backup -3hrs"/>
    <s v="Not Applicable"/>
    <s v="https://sanofiservices.service-now.com/onesupport?id=request_order_guide&amp;sys_id=8ef52e074f098fc4cb48c0428110c701"/>
    <s v="Not Applicable"/>
    <s v="Per CI"/>
    <n v="21.75"/>
    <n v="7"/>
    <n v="152.25"/>
    <n v="3"/>
    <s v="Service Owner - Expert - manager follow this link "/>
    <s v="Not Applicable"/>
    <m/>
    <d v="2025-03-12T00:00:00"/>
    <s v="V2.1"/>
    <d v="2025-03-12T00:00:00"/>
    <n v="0"/>
    <n v="0"/>
    <n v="152.25"/>
    <m/>
    <x v="1"/>
  </r>
  <r>
    <x v="374"/>
    <x v="0"/>
    <s v="On Prem / Cloud"/>
    <s v="DB--Oracle"/>
    <x v="1"/>
    <x v="12"/>
    <x v="309"/>
    <s v="Download/Copy the patch/unzip  - 45 mins_x000a_Perform Prechceks /fix any issues- 45 mins_x000a_Bringdown DB and Listener - 15 mins_x000a_Apply the patch  - 45 mins_x000a_Bring up DB/lsitener - 15 mins_x000a_Run Post patch scripts -30 mins_x000a_Validate DB's/remote connectivity - 30 mins"/>
    <s v="Not Applicable"/>
    <s v="NA"/>
    <s v="Not Applicable"/>
    <s v="Per CI"/>
    <n v="21.75"/>
    <n v="4"/>
    <n v="87"/>
    <n v="3"/>
    <s v="Service Owner - Expert - manager follow this link "/>
    <s v="Not Applicable"/>
    <m/>
    <d v="2025-03-12T00:00:00"/>
    <s v="V2.1"/>
    <d v="2025-03-12T00:00:00"/>
    <n v="0"/>
    <n v="0"/>
    <n v="87"/>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953A31-D1D0-42A6-87AE-FD72F0B88CEC}"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G25" firstHeaderRow="1" firstDataRow="2" firstDataCol="1"/>
  <pivotFields count="27">
    <pivotField compact="0" outline="0" showAll="0" defaultSubtotal="0"/>
    <pivotField compact="0" outline="0" showAll="0" defaultSubtotal="0"/>
    <pivotField compact="0" outline="0" showAll="0"/>
    <pivotField compact="0" outline="0" showAll="0"/>
    <pivotField compact="0" outline="0" showAll="0" defaultSubtotal="0"/>
    <pivotField axis="axisRow" compact="0" outline="0" showAll="0" defaultSubtotal="0">
      <items count="23">
        <item x="11"/>
        <item x="14"/>
        <item x="15"/>
        <item x="17"/>
        <item x="0"/>
        <item x="5"/>
        <item m="1" x="22"/>
        <item m="1" x="21"/>
        <item x="10"/>
        <item x="2"/>
        <item x="3"/>
        <item x="9"/>
        <item x="6"/>
        <item x="16"/>
        <item x="12"/>
        <item x="8"/>
        <item x="1"/>
        <item x="4"/>
        <item x="13"/>
        <item m="1" x="20"/>
        <item x="7"/>
        <item x="18"/>
        <item x="19"/>
      </items>
    </pivotField>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numFmtId="14" outline="0" showAll="0"/>
    <pivotField compact="0" outline="0" showAll="0"/>
    <pivotField compact="0" outline="0" showAll="0"/>
    <pivotField compact="0" outline="0" multipleItemSelectionAllowed="1" showAll="0"/>
    <pivotField compact="0" outline="0" showAll="0"/>
    <pivotField axis="axisCol" dataField="1" compact="0" outline="0" showAll="0">
      <items count="3">
        <item x="0"/>
        <item x="1"/>
        <item t="default"/>
      </items>
    </pivotField>
  </pivotFields>
  <rowFields count="1">
    <field x="5"/>
  </rowFields>
  <rowItems count="21">
    <i>
      <x/>
    </i>
    <i>
      <x v="1"/>
    </i>
    <i>
      <x v="2"/>
    </i>
    <i>
      <x v="3"/>
    </i>
    <i>
      <x v="4"/>
    </i>
    <i>
      <x v="5"/>
    </i>
    <i>
      <x v="8"/>
    </i>
    <i>
      <x v="9"/>
    </i>
    <i>
      <x v="10"/>
    </i>
    <i>
      <x v="11"/>
    </i>
    <i>
      <x v="12"/>
    </i>
    <i>
      <x v="13"/>
    </i>
    <i>
      <x v="14"/>
    </i>
    <i>
      <x v="15"/>
    </i>
    <i>
      <x v="16"/>
    </i>
    <i>
      <x v="17"/>
    </i>
    <i>
      <x v="18"/>
    </i>
    <i>
      <x v="20"/>
    </i>
    <i>
      <x v="21"/>
    </i>
    <i>
      <x v="22"/>
    </i>
    <i t="grand">
      <x/>
    </i>
  </rowItems>
  <colFields count="1">
    <field x="26"/>
  </colFields>
  <colItems count="3">
    <i>
      <x/>
    </i>
    <i>
      <x v="1"/>
    </i>
    <i t="grand">
      <x/>
    </i>
  </colItems>
  <dataFields count="1">
    <dataField name="Count of IMS/PMS" fld="26" subtotal="count"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2DF36E-8DD2-4C59-80C3-019F9138A98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247" firstHeaderRow="1" firstDataRow="1" firstDataCol="2" rowPageCount="1" colPageCount="1"/>
  <pivotFields count="27">
    <pivotField axis="axisRow" compact="0" outline="0" showAll="0" defaultSubtotal="0">
      <items count="378">
        <item x="0"/>
        <item x="1"/>
        <item x="2"/>
        <item x="3"/>
        <item x="4"/>
        <item x="5"/>
        <item x="6"/>
        <item x="7"/>
        <item x="8"/>
        <item x="9"/>
        <item x="10"/>
        <item x="11"/>
        <item x="12"/>
        <item x="13"/>
        <item x="14"/>
        <item x="15"/>
        <item x="16"/>
        <item x="17"/>
        <item x="18"/>
        <item x="69"/>
        <item x="70"/>
        <item x="71"/>
        <item x="72"/>
        <item x="141"/>
        <item x="142"/>
        <item x="153"/>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5"/>
        <item x="186"/>
        <item x="187"/>
        <item x="188"/>
        <item x="189"/>
        <item x="190"/>
        <item x="191"/>
        <item x="193"/>
        <item x="194"/>
        <item x="195"/>
        <item x="196"/>
        <item x="197"/>
        <item x="198"/>
        <item x="199"/>
        <item x="200"/>
        <item x="201"/>
        <item x="202"/>
        <item x="203"/>
        <item x="204"/>
        <item x="205"/>
        <item x="206"/>
        <item x="207"/>
        <item x="208"/>
        <item x="209"/>
        <item x="210"/>
        <item x="211"/>
        <item x="212"/>
        <item x="213"/>
        <item x="214"/>
        <item x="215"/>
        <item x="216"/>
        <item x="217"/>
        <item x="218"/>
        <item x="245"/>
        <item x="258"/>
        <item x="262"/>
        <item x="263"/>
        <item x="264"/>
        <item x="266"/>
        <item x="267"/>
        <item x="268"/>
        <item x="270"/>
        <item x="271"/>
        <item x="273"/>
        <item x="275"/>
        <item x="276"/>
        <item x="277"/>
        <item x="279"/>
        <item x="280"/>
        <item x="282"/>
        <item x="283"/>
        <item x="284"/>
        <item x="287"/>
        <item x="288"/>
        <item x="289"/>
        <item x="290"/>
        <item x="303"/>
        <item x="304"/>
        <item x="315"/>
        <item x="320"/>
        <item x="322"/>
        <item x="324"/>
        <item x="327"/>
        <item x="330"/>
        <item x="331"/>
        <item x="332"/>
        <item x="346"/>
        <item x="347"/>
        <item x="348"/>
        <item x="349"/>
        <item x="350"/>
        <item x="352"/>
        <item x="353"/>
        <item x="361"/>
        <item x="362"/>
        <item x="363"/>
        <item x="19"/>
        <item x="20"/>
        <item x="21"/>
        <item x="22"/>
        <item x="23"/>
        <item x="24"/>
        <item x="256"/>
        <item x="25"/>
        <item x="26"/>
        <item x="27"/>
        <item x="28"/>
        <item x="29"/>
        <item x="323"/>
        <item x="30"/>
        <item x="306"/>
        <item x="31"/>
        <item x="32"/>
        <item x="33"/>
        <item x="34"/>
        <item x="35"/>
        <item x="36"/>
        <item x="37"/>
        <item x="38"/>
        <item x="39"/>
        <item x="40"/>
        <item x="41"/>
        <item x="42"/>
        <item x="43"/>
        <item x="44"/>
        <item x="45"/>
        <item x="46"/>
        <item x="47"/>
        <item x="48"/>
        <item x="49"/>
        <item x="50"/>
        <item x="51"/>
        <item x="52"/>
        <item x="53"/>
        <item x="54"/>
        <item x="55"/>
        <item x="293"/>
        <item x="56"/>
        <item x="57"/>
        <item x="58"/>
        <item x="59"/>
        <item x="60"/>
        <item x="61"/>
        <item x="62"/>
        <item x="63"/>
        <item x="64"/>
        <item x="65"/>
        <item x="66"/>
        <item x="67"/>
        <item x="68"/>
        <item x="73"/>
        <item x="74"/>
        <item x="75"/>
        <item x="76"/>
        <item x="77"/>
        <item x="78"/>
        <item x="79"/>
        <item x="80"/>
        <item x="82"/>
        <item x="257"/>
        <item x="259"/>
        <item x="260"/>
        <item x="261"/>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291"/>
        <item x="127"/>
        <item x="128"/>
        <item x="129"/>
        <item x="130"/>
        <item x="131"/>
        <item x="132"/>
        <item x="133"/>
        <item x="134"/>
        <item x="135"/>
        <item x="307"/>
        <item x="136"/>
        <item x="243"/>
        <item x="244"/>
        <item x="248"/>
        <item x="137"/>
        <item x="138"/>
        <item x="139"/>
        <item x="140"/>
        <item x="143"/>
        <item x="144"/>
        <item x="308"/>
        <item x="145"/>
        <item x="146"/>
        <item x="147"/>
        <item m="1" x="375"/>
        <item x="148"/>
        <item x="149"/>
        <item x="250"/>
        <item x="150"/>
        <item x="151"/>
        <item x="152"/>
        <item x="154"/>
        <item x="297"/>
        <item x="246"/>
        <item x="251"/>
        <item x="252"/>
        <item x="249"/>
        <item x="253"/>
        <item x="311"/>
        <item x="192"/>
        <item m="1" x="376"/>
        <item x="254"/>
        <item x="247"/>
        <item x="255"/>
        <item x="312"/>
        <item x="313"/>
        <item x="81"/>
        <item x="219"/>
        <item x="220"/>
        <item x="221"/>
        <item x="222"/>
        <item x="223"/>
        <item x="224"/>
        <item x="225"/>
        <item x="226"/>
        <item x="227"/>
        <item x="228"/>
        <item x="229"/>
        <item x="230"/>
        <item x="231"/>
        <item x="232"/>
        <item x="233"/>
        <item x="234"/>
        <item x="235"/>
        <item x="236"/>
        <item x="237"/>
        <item x="238"/>
        <item x="239"/>
        <item x="240"/>
        <item x="241"/>
        <item x="242"/>
        <item x="164"/>
        <item x="285"/>
        <item x="269"/>
        <item x="286"/>
        <item x="265"/>
        <item x="272"/>
        <item x="274"/>
        <item x="278"/>
        <item x="281"/>
        <item x="292"/>
        <item x="294"/>
        <item x="295"/>
        <item x="296"/>
        <item x="298"/>
        <item x="299"/>
        <item x="300"/>
        <item x="301"/>
        <item x="302"/>
        <item x="305"/>
        <item x="309"/>
        <item x="310"/>
        <item x="314"/>
        <item x="316"/>
        <item x="317"/>
        <item x="318"/>
        <item x="319"/>
        <item x="321"/>
        <item m="1" x="377"/>
        <item x="325"/>
        <item x="326"/>
        <item x="328"/>
        <item x="329"/>
        <item x="333"/>
        <item x="334"/>
        <item x="335"/>
        <item x="336"/>
        <item x="337"/>
        <item x="338"/>
        <item x="339"/>
        <item x="340"/>
        <item x="341"/>
        <item x="342"/>
        <item x="343"/>
        <item x="344"/>
        <item x="345"/>
        <item x="351"/>
        <item x="354"/>
        <item x="355"/>
        <item x="356"/>
        <item x="357"/>
        <item x="358"/>
        <item x="359"/>
        <item x="360"/>
        <item x="364"/>
        <item x="365"/>
        <item x="366"/>
        <item x="367"/>
        <item x="368"/>
        <item x="369"/>
        <item x="370"/>
        <item x="371"/>
        <item x="372"/>
        <item x="373"/>
        <item x="374"/>
      </items>
    </pivotField>
    <pivotField compact="0" outline="0" showAll="0" defaultSubtotal="0"/>
    <pivotField compact="0" outline="0" showAll="0"/>
    <pivotField compact="0" outline="0" showAll="0"/>
    <pivotField compact="0" outline="0" showAll="0" defaultSubtotal="0"/>
    <pivotField axis="axisRow" compact="0" outline="0" showAll="0" defaultSubtotal="0">
      <items count="23">
        <item x="11"/>
        <item x="14"/>
        <item x="15"/>
        <item x="17"/>
        <item x="0"/>
        <item x="5"/>
        <item m="1" x="22"/>
        <item m="1" x="21"/>
        <item x="10"/>
        <item x="2"/>
        <item x="3"/>
        <item x="9"/>
        <item x="6"/>
        <item x="16"/>
        <item x="12"/>
        <item x="8"/>
        <item x="1"/>
        <item x="4"/>
        <item x="13"/>
        <item m="1" x="20"/>
        <item x="7"/>
        <item x="18"/>
        <item x="19"/>
      </items>
    </pivotField>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numFmtId="14" outline="0" showAll="0"/>
    <pivotField compact="0" outline="0" showAll="0"/>
    <pivotField compact="0" outline="0" showAll="0"/>
    <pivotField compact="0" outline="0" multipleItemSelectionAllowed="1" showAll="0"/>
    <pivotField compact="0" outline="0" showAll="0"/>
    <pivotField axis="axisPage" compact="0" outline="0" showAll="0">
      <items count="3">
        <item x="0"/>
        <item x="1"/>
        <item t="default"/>
      </items>
    </pivotField>
  </pivotFields>
  <rowFields count="2">
    <field x="5"/>
    <field x="0"/>
  </rowFields>
  <rowItems count="244">
    <i>
      <x v="1"/>
      <x v="266"/>
    </i>
    <i r="1">
      <x v="269"/>
    </i>
    <i r="1">
      <x v="366"/>
    </i>
    <i>
      <x v="5"/>
      <x v="149"/>
    </i>
    <i r="1">
      <x v="197"/>
    </i>
    <i>
      <x v="8"/>
      <x v="196"/>
    </i>
    <i r="1">
      <x v="274"/>
    </i>
    <i r="1">
      <x v="281"/>
    </i>
    <i r="1">
      <x v="287"/>
    </i>
    <i r="1">
      <x v="288"/>
    </i>
    <i r="1">
      <x v="348"/>
    </i>
    <i r="1">
      <x v="349"/>
    </i>
    <i r="1">
      <x v="350"/>
    </i>
    <i r="1">
      <x v="352"/>
    </i>
    <i r="1">
      <x v="353"/>
    </i>
    <i r="1">
      <x v="354"/>
    </i>
    <i r="1">
      <x v="355"/>
    </i>
    <i r="1">
      <x v="356"/>
    </i>
    <i>
      <x v="11"/>
      <x v="176"/>
    </i>
    <i>
      <x v="14"/>
      <x v="225"/>
    </i>
    <i r="1">
      <x v="226"/>
    </i>
    <i r="1">
      <x v="233"/>
    </i>
    <i r="1">
      <x v="358"/>
    </i>
    <i r="1">
      <x v="377"/>
    </i>
    <i>
      <x v="15"/>
      <x v="148"/>
    </i>
    <i r="1">
      <x v="174"/>
    </i>
    <i r="1">
      <x v="175"/>
    </i>
    <i r="1">
      <x v="182"/>
    </i>
    <i r="1">
      <x v="188"/>
    </i>
    <i r="1">
      <x v="190"/>
    </i>
    <i r="1">
      <x v="198"/>
    </i>
    <i r="1">
      <x v="223"/>
    </i>
    <i r="1">
      <x v="234"/>
    </i>
    <i r="1">
      <x v="235"/>
    </i>
    <i r="1">
      <x v="236"/>
    </i>
    <i r="1">
      <x v="245"/>
    </i>
    <i r="1">
      <x v="247"/>
    </i>
    <i r="1">
      <x v="248"/>
    </i>
    <i r="1">
      <x v="249"/>
    </i>
    <i r="1">
      <x v="250"/>
    </i>
    <i r="1">
      <x v="253"/>
    </i>
    <i r="1">
      <x v="256"/>
    </i>
    <i r="1">
      <x v="257"/>
    </i>
    <i r="1">
      <x v="258"/>
    </i>
    <i r="1">
      <x v="259"/>
    </i>
    <i r="1">
      <x v="260"/>
    </i>
    <i r="1">
      <x v="290"/>
    </i>
    <i r="1">
      <x v="340"/>
    </i>
    <i r="1">
      <x v="357"/>
    </i>
    <i r="1">
      <x v="362"/>
    </i>
    <i r="1">
      <x v="363"/>
    </i>
    <i r="1">
      <x v="364"/>
    </i>
    <i r="1">
      <x v="365"/>
    </i>
    <i r="1">
      <x v="369"/>
    </i>
    <i r="1">
      <x v="370"/>
    </i>
    <i r="1">
      <x v="371"/>
    </i>
    <i>
      <x v="18"/>
      <x v="238"/>
    </i>
    <i>
      <x v="20"/>
      <x v="131"/>
    </i>
    <i r="1">
      <x v="132"/>
    </i>
    <i r="1">
      <x v="133"/>
    </i>
    <i r="1">
      <x v="134"/>
    </i>
    <i r="1">
      <x v="135"/>
    </i>
    <i r="1">
      <x v="136"/>
    </i>
    <i r="1">
      <x v="137"/>
    </i>
    <i r="1">
      <x v="138"/>
    </i>
    <i r="1">
      <x v="139"/>
    </i>
    <i r="1">
      <x v="140"/>
    </i>
    <i r="1">
      <x v="141"/>
    </i>
    <i r="1">
      <x v="142"/>
    </i>
    <i r="1">
      <x v="143"/>
    </i>
    <i r="1">
      <x v="144"/>
    </i>
    <i r="1">
      <x v="145"/>
    </i>
    <i r="1">
      <x v="146"/>
    </i>
    <i r="1">
      <x v="147"/>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7"/>
    </i>
    <i r="1">
      <x v="178"/>
    </i>
    <i r="1">
      <x v="179"/>
    </i>
    <i r="1">
      <x v="180"/>
    </i>
    <i r="1">
      <x v="181"/>
    </i>
    <i r="1">
      <x v="183"/>
    </i>
    <i r="1">
      <x v="184"/>
    </i>
    <i r="1">
      <x v="185"/>
    </i>
    <i r="1">
      <x v="186"/>
    </i>
    <i r="1">
      <x v="187"/>
    </i>
    <i r="1">
      <x v="189"/>
    </i>
    <i r="1">
      <x v="191"/>
    </i>
    <i r="1">
      <x v="192"/>
    </i>
    <i r="1">
      <x v="193"/>
    </i>
    <i r="1">
      <x v="194"/>
    </i>
    <i r="1">
      <x v="195"/>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4"/>
    </i>
    <i r="1">
      <x v="227"/>
    </i>
    <i r="1">
      <x v="228"/>
    </i>
    <i r="1">
      <x v="229"/>
    </i>
    <i r="1">
      <x v="230"/>
    </i>
    <i r="1">
      <x v="231"/>
    </i>
    <i r="1">
      <x v="232"/>
    </i>
    <i r="1">
      <x v="237"/>
    </i>
    <i r="1">
      <x v="239"/>
    </i>
    <i r="1">
      <x v="240"/>
    </i>
    <i r="1">
      <x v="241"/>
    </i>
    <i r="1">
      <x v="242"/>
    </i>
    <i r="1">
      <x v="243"/>
    </i>
    <i r="1">
      <x v="244"/>
    </i>
    <i r="1">
      <x v="246"/>
    </i>
    <i r="1">
      <x v="251"/>
    </i>
    <i r="1">
      <x v="252"/>
    </i>
    <i r="1">
      <x v="254"/>
    </i>
    <i r="1">
      <x v="255"/>
    </i>
    <i r="1">
      <x v="261"/>
    </i>
    <i r="1">
      <x v="262"/>
    </i>
    <i r="1">
      <x v="263"/>
    </i>
    <i r="1">
      <x v="264"/>
    </i>
    <i r="1">
      <x v="265"/>
    </i>
    <i r="1">
      <x v="268"/>
    </i>
    <i r="1">
      <x v="270"/>
    </i>
    <i r="1">
      <x v="271"/>
    </i>
    <i r="1">
      <x v="272"/>
    </i>
    <i r="1">
      <x v="273"/>
    </i>
    <i r="1">
      <x v="275"/>
    </i>
    <i r="1">
      <x v="276"/>
    </i>
    <i r="1">
      <x v="277"/>
    </i>
    <i r="1">
      <x v="278"/>
    </i>
    <i r="1">
      <x v="279"/>
    </i>
    <i r="1">
      <x v="280"/>
    </i>
    <i r="1">
      <x v="282"/>
    </i>
    <i r="1">
      <x v="284"/>
    </i>
    <i r="1">
      <x v="285"/>
    </i>
    <i r="1">
      <x v="286"/>
    </i>
    <i r="1">
      <x v="289"/>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2"/>
    </i>
    <i r="1">
      <x v="343"/>
    </i>
    <i r="1">
      <x v="344"/>
    </i>
    <i r="1">
      <x v="345"/>
    </i>
    <i r="1">
      <x v="346"/>
    </i>
    <i r="1">
      <x v="347"/>
    </i>
    <i r="1">
      <x v="351"/>
    </i>
    <i r="1">
      <x v="359"/>
    </i>
    <i r="1">
      <x v="360"/>
    </i>
    <i r="1">
      <x v="361"/>
    </i>
    <i r="1">
      <x v="367"/>
    </i>
    <i r="1">
      <x v="368"/>
    </i>
    <i r="1">
      <x v="373"/>
    </i>
    <i r="1">
      <x v="375"/>
    </i>
    <i>
      <x v="21"/>
      <x v="374"/>
    </i>
    <i>
      <x v="22"/>
      <x v="376"/>
    </i>
    <i t="grand">
      <x/>
    </i>
  </rowItems>
  <colItems count="1">
    <i/>
  </colItems>
  <pageFields count="1">
    <pageField fld="26" item="1" hier="-1"/>
  </page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6194B1-277A-40B6-A4A2-4A2EB12A0688}"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379" firstHeaderRow="1" firstDataRow="1" firstDataCol="4" rowPageCount="1" colPageCount="1"/>
  <pivotFields count="27">
    <pivotField axis="axisRow" compact="0" outline="0" showAll="0" defaultSubtotal="0">
      <items count="378">
        <item x="0"/>
        <item x="1"/>
        <item x="2"/>
        <item x="3"/>
        <item x="4"/>
        <item x="5"/>
        <item x="6"/>
        <item x="7"/>
        <item x="8"/>
        <item x="9"/>
        <item x="10"/>
        <item x="11"/>
        <item x="12"/>
        <item x="13"/>
        <item x="14"/>
        <item x="15"/>
        <item x="16"/>
        <item x="17"/>
        <item x="18"/>
        <item x="69"/>
        <item x="70"/>
        <item x="71"/>
        <item x="72"/>
        <item x="141"/>
        <item x="142"/>
        <item x="153"/>
        <item x="155"/>
        <item x="156"/>
        <item x="157"/>
        <item x="158"/>
        <item x="159"/>
        <item x="160"/>
        <item x="161"/>
        <item x="162"/>
        <item x="163"/>
        <item x="165"/>
        <item x="166"/>
        <item x="167"/>
        <item x="168"/>
        <item x="169"/>
        <item x="170"/>
        <item x="171"/>
        <item x="172"/>
        <item x="173"/>
        <item x="174"/>
        <item x="175"/>
        <item x="176"/>
        <item x="177"/>
        <item x="178"/>
        <item x="179"/>
        <item x="180"/>
        <item x="181"/>
        <item x="182"/>
        <item x="183"/>
        <item x="184"/>
        <item x="185"/>
        <item x="186"/>
        <item x="187"/>
        <item x="188"/>
        <item x="189"/>
        <item x="190"/>
        <item x="191"/>
        <item x="193"/>
        <item x="194"/>
        <item x="195"/>
        <item x="196"/>
        <item x="197"/>
        <item x="198"/>
        <item x="199"/>
        <item x="200"/>
        <item x="201"/>
        <item x="202"/>
        <item x="203"/>
        <item x="204"/>
        <item x="205"/>
        <item x="206"/>
        <item x="207"/>
        <item x="208"/>
        <item x="209"/>
        <item x="210"/>
        <item x="211"/>
        <item x="212"/>
        <item x="213"/>
        <item x="214"/>
        <item x="215"/>
        <item x="216"/>
        <item x="217"/>
        <item x="218"/>
        <item x="245"/>
        <item x="258"/>
        <item x="262"/>
        <item x="263"/>
        <item x="264"/>
        <item x="266"/>
        <item x="267"/>
        <item x="268"/>
        <item x="270"/>
        <item x="271"/>
        <item x="273"/>
        <item x="275"/>
        <item x="276"/>
        <item x="277"/>
        <item x="279"/>
        <item x="280"/>
        <item x="282"/>
        <item x="283"/>
        <item x="284"/>
        <item x="287"/>
        <item x="288"/>
        <item x="289"/>
        <item x="290"/>
        <item x="303"/>
        <item x="304"/>
        <item x="315"/>
        <item x="320"/>
        <item x="322"/>
        <item x="324"/>
        <item x="327"/>
        <item x="330"/>
        <item x="331"/>
        <item x="332"/>
        <item x="346"/>
        <item x="347"/>
        <item x="348"/>
        <item x="349"/>
        <item x="350"/>
        <item x="352"/>
        <item x="353"/>
        <item x="361"/>
        <item x="362"/>
        <item x="363"/>
        <item x="19"/>
        <item x="20"/>
        <item x="21"/>
        <item x="22"/>
        <item x="23"/>
        <item x="24"/>
        <item x="256"/>
        <item x="25"/>
        <item x="26"/>
        <item x="27"/>
        <item x="28"/>
        <item x="29"/>
        <item x="323"/>
        <item x="30"/>
        <item x="306"/>
        <item x="31"/>
        <item x="32"/>
        <item x="33"/>
        <item x="34"/>
        <item x="35"/>
        <item x="36"/>
        <item x="37"/>
        <item x="38"/>
        <item x="39"/>
        <item x="40"/>
        <item x="41"/>
        <item x="42"/>
        <item x="43"/>
        <item x="44"/>
        <item x="45"/>
        <item x="46"/>
        <item x="47"/>
        <item x="48"/>
        <item x="49"/>
        <item x="50"/>
        <item x="51"/>
        <item x="52"/>
        <item x="53"/>
        <item x="54"/>
        <item x="55"/>
        <item x="293"/>
        <item x="56"/>
        <item x="57"/>
        <item x="58"/>
        <item x="59"/>
        <item x="60"/>
        <item x="61"/>
        <item x="62"/>
        <item x="63"/>
        <item x="64"/>
        <item x="65"/>
        <item x="66"/>
        <item x="67"/>
        <item x="68"/>
        <item x="73"/>
        <item x="74"/>
        <item x="75"/>
        <item x="76"/>
        <item x="77"/>
        <item x="78"/>
        <item x="79"/>
        <item x="80"/>
        <item x="82"/>
        <item x="257"/>
        <item x="259"/>
        <item x="260"/>
        <item x="261"/>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291"/>
        <item x="127"/>
        <item x="128"/>
        <item x="129"/>
        <item x="130"/>
        <item x="131"/>
        <item x="132"/>
        <item x="133"/>
        <item x="134"/>
        <item x="135"/>
        <item x="307"/>
        <item x="136"/>
        <item x="243"/>
        <item x="244"/>
        <item x="248"/>
        <item x="137"/>
        <item x="138"/>
        <item x="139"/>
        <item x="140"/>
        <item x="143"/>
        <item x="144"/>
        <item x="308"/>
        <item x="145"/>
        <item x="146"/>
        <item x="147"/>
        <item m="1" x="375"/>
        <item x="148"/>
        <item x="149"/>
        <item x="250"/>
        <item x="150"/>
        <item x="151"/>
        <item x="152"/>
        <item x="154"/>
        <item x="297"/>
        <item x="246"/>
        <item x="251"/>
        <item x="252"/>
        <item x="249"/>
        <item x="253"/>
        <item x="311"/>
        <item x="192"/>
        <item m="1" x="376"/>
        <item x="254"/>
        <item x="247"/>
        <item x="255"/>
        <item x="312"/>
        <item x="313"/>
        <item x="81"/>
        <item x="219"/>
        <item x="220"/>
        <item x="221"/>
        <item x="222"/>
        <item x="223"/>
        <item x="224"/>
        <item x="225"/>
        <item x="226"/>
        <item x="227"/>
        <item x="228"/>
        <item x="229"/>
        <item x="230"/>
        <item x="231"/>
        <item x="232"/>
        <item x="233"/>
        <item x="234"/>
        <item x="235"/>
        <item x="236"/>
        <item x="237"/>
        <item x="238"/>
        <item x="239"/>
        <item x="240"/>
        <item x="241"/>
        <item x="242"/>
        <item x="164"/>
        <item x="285"/>
        <item x="269"/>
        <item x="286"/>
        <item x="265"/>
        <item x="272"/>
        <item x="274"/>
        <item x="278"/>
        <item x="281"/>
        <item x="292"/>
        <item x="294"/>
        <item x="295"/>
        <item x="296"/>
        <item x="298"/>
        <item x="299"/>
        <item x="300"/>
        <item x="301"/>
        <item x="302"/>
        <item x="305"/>
        <item x="309"/>
        <item x="310"/>
        <item x="314"/>
        <item x="316"/>
        <item x="317"/>
        <item x="318"/>
        <item x="319"/>
        <item x="321"/>
        <item m="1" x="377"/>
        <item x="325"/>
        <item x="326"/>
        <item x="328"/>
        <item x="329"/>
        <item x="333"/>
        <item x="334"/>
        <item x="335"/>
        <item x="336"/>
        <item x="337"/>
        <item x="338"/>
        <item x="339"/>
        <item x="340"/>
        <item x="341"/>
        <item x="342"/>
        <item x="343"/>
        <item x="344"/>
        <item x="345"/>
        <item x="351"/>
        <item x="354"/>
        <item x="355"/>
        <item x="356"/>
        <item x="357"/>
        <item x="358"/>
        <item x="359"/>
        <item x="360"/>
        <item x="364"/>
        <item x="365"/>
        <item x="366"/>
        <item x="367"/>
        <item x="368"/>
        <item x="369"/>
        <item x="370"/>
        <item x="371"/>
        <item x="372"/>
        <item x="373"/>
        <item x="374"/>
      </items>
    </pivotField>
    <pivotField axis="axisRow" compact="0" outline="0" showAll="0" defaultSubtotal="0">
      <items count="2">
        <item x="0"/>
        <item x="1"/>
      </items>
    </pivotField>
    <pivotField compact="0" outline="0" showAll="0"/>
    <pivotField compact="0" outline="0" showAll="0"/>
    <pivotField axis="axisRow" compact="0" outline="0" showAll="0" defaultSubtotal="0">
      <items count="89">
        <item x="56"/>
        <item x="13"/>
        <item x="0"/>
        <item x="62"/>
        <item x="66"/>
        <item x="4"/>
        <item x="60"/>
        <item x="10"/>
        <item x="76"/>
        <item x="37"/>
        <item x="77"/>
        <item x="51"/>
        <item x="82"/>
        <item x="80"/>
        <item x="83"/>
        <item x="72"/>
        <item x="19"/>
        <item x="25"/>
        <item x="67"/>
        <item x="38"/>
        <item x="9"/>
        <item x="58"/>
        <item x="21"/>
        <item x="22"/>
        <item x="33"/>
        <item x="48"/>
        <item x="74"/>
        <item x="54"/>
        <item x="6"/>
        <item x="70"/>
        <item x="40"/>
        <item x="61"/>
        <item x="7"/>
        <item x="17"/>
        <item x="43"/>
        <item x="84"/>
        <item x="12"/>
        <item x="34"/>
        <item x="14"/>
        <item x="49"/>
        <item m="1" x="87"/>
        <item x="42"/>
        <item x="63"/>
        <item x="64"/>
        <item x="52"/>
        <item x="16"/>
        <item x="57"/>
        <item x="8"/>
        <item x="53"/>
        <item x="85"/>
        <item x="78"/>
        <item x="2"/>
        <item x="11"/>
        <item x="59"/>
        <item x="1"/>
        <item x="29"/>
        <item x="71"/>
        <item x="24"/>
        <item x="15"/>
        <item x="26"/>
        <item x="81"/>
        <item x="30"/>
        <item x="50"/>
        <item x="69"/>
        <item x="75"/>
        <item x="68"/>
        <item x="5"/>
        <item x="27"/>
        <item x="32"/>
        <item x="28"/>
        <item x="73"/>
        <item x="79"/>
        <item x="47"/>
        <item x="35"/>
        <item x="36"/>
        <item x="31"/>
        <item x="46"/>
        <item x="18"/>
        <item x="55"/>
        <item x="65"/>
        <item x="45"/>
        <item m="1" x="88"/>
        <item x="3"/>
        <item x="20"/>
        <item x="23"/>
        <item x="39"/>
        <item x="41"/>
        <item x="44"/>
        <item x="86"/>
      </items>
    </pivotField>
    <pivotField axis="axisPage" compact="0" outline="0" showAll="0" defaultSubtotal="0">
      <items count="23">
        <item x="11"/>
        <item x="14"/>
        <item x="15"/>
        <item x="17"/>
        <item x="0"/>
        <item x="5"/>
        <item m="1" x="22"/>
        <item m="1" x="21"/>
        <item x="10"/>
        <item x="2"/>
        <item x="3"/>
        <item x="9"/>
        <item x="6"/>
        <item x="16"/>
        <item x="12"/>
        <item x="8"/>
        <item x="1"/>
        <item x="4"/>
        <item x="13"/>
        <item m="1" x="20"/>
        <item x="7"/>
        <item x="18"/>
        <item x="19"/>
      </items>
    </pivotField>
    <pivotField axis="axisRow" compact="0" outline="0" showAll="0" defaultSubtotal="0">
      <items count="313">
        <item x="245"/>
        <item x="249"/>
        <item x="280"/>
        <item x="290"/>
        <item x="132"/>
        <item x="239"/>
        <item x="186"/>
        <item x="163"/>
        <item x="218"/>
        <item x="157"/>
        <item x="156"/>
        <item x="0"/>
        <item x="155"/>
        <item x="220"/>
        <item x="34"/>
        <item x="33"/>
        <item x="32"/>
        <item x="183"/>
        <item x="19"/>
        <item x="39"/>
        <item x="291"/>
        <item x="191"/>
        <item x="192"/>
        <item x="235"/>
        <item x="205"/>
        <item x="223"/>
        <item x="268"/>
        <item x="265"/>
        <item x="122"/>
        <item x="130"/>
        <item x="123"/>
        <item x="281"/>
        <item x="242"/>
        <item x="243"/>
        <item x="38"/>
        <item x="46"/>
        <item x="118"/>
        <item x="120"/>
        <item x="58"/>
        <item x="253"/>
        <item x="256"/>
        <item x="47"/>
        <item m="1" x="312"/>
        <item x="234"/>
        <item x="231"/>
        <item x="284"/>
        <item x="273"/>
        <item x="272"/>
        <item x="271"/>
        <item x="276"/>
        <item x="275"/>
        <item x="283"/>
        <item x="285"/>
        <item x="282"/>
        <item x="8"/>
        <item x="139"/>
        <item x="25"/>
        <item x="73"/>
        <item x="131"/>
        <item x="198"/>
        <item x="185"/>
        <item x="154"/>
        <item x="216"/>
        <item x="144"/>
        <item x="299"/>
        <item x="91"/>
        <item x="92"/>
        <item x="190"/>
        <item x="136"/>
        <item x="212"/>
        <item x="219"/>
        <item x="74"/>
        <item x="79"/>
        <item x="184"/>
        <item x="255"/>
        <item x="80"/>
        <item x="75"/>
        <item x="167"/>
        <item x="208"/>
        <item x="106"/>
        <item x="56"/>
        <item x="303"/>
        <item x="302"/>
        <item x="48"/>
        <item x="301"/>
        <item x="49"/>
        <item x="53"/>
        <item x="1"/>
        <item x="135"/>
        <item x="148"/>
        <item x="9"/>
        <item x="262"/>
        <item x="217"/>
        <item x="199"/>
        <item x="251"/>
        <item x="40"/>
        <item m="1" x="311"/>
        <item x="296"/>
        <item x="287"/>
        <item x="126"/>
        <item x="7"/>
        <item x="37"/>
        <item x="84"/>
        <item x="17"/>
        <item x="99"/>
        <item x="10"/>
        <item x="203"/>
        <item x="221"/>
        <item x="196"/>
        <item x="2"/>
        <item x="50"/>
        <item x="232"/>
        <item x="160"/>
        <item x="107"/>
        <item x="181"/>
        <item x="182"/>
        <item x="54"/>
        <item x="113"/>
        <item x="112"/>
        <item x="222"/>
        <item x="6"/>
        <item x="15"/>
        <item x="16"/>
        <item x="61"/>
        <item x="128"/>
        <item x="286"/>
        <item x="145"/>
        <item x="233"/>
        <item x="180"/>
        <item x="197"/>
        <item x="18"/>
        <item x="200"/>
        <item x="254"/>
        <item x="57"/>
        <item x="129"/>
        <item x="78"/>
        <item x="66"/>
        <item x="68"/>
        <item x="166"/>
        <item x="252"/>
        <item x="241"/>
        <item x="189"/>
        <item x="188"/>
        <item x="35"/>
        <item x="41"/>
        <item x="42"/>
        <item x="45"/>
        <item x="24"/>
        <item x="133"/>
        <item x="127"/>
        <item x="125"/>
        <item x="147"/>
        <item x="288"/>
        <item x="82"/>
        <item x="36"/>
        <item x="138"/>
        <item x="27"/>
        <item x="279"/>
        <item x="21"/>
        <item x="20"/>
        <item m="1" x="310"/>
        <item x="87"/>
        <item x="206"/>
        <item x="63"/>
        <item x="236"/>
        <item x="71"/>
        <item x="70"/>
        <item x="151"/>
        <item x="67"/>
        <item x="152"/>
        <item x="153"/>
        <item x="162"/>
        <item x="263"/>
        <item x="264"/>
        <item x="270"/>
        <item x="261"/>
        <item x="29"/>
        <item x="175"/>
        <item x="176"/>
        <item x="161"/>
        <item x="86"/>
        <item x="85"/>
        <item x="247"/>
        <item x="238"/>
        <item x="237"/>
        <item x="65"/>
        <item x="64"/>
        <item x="69"/>
        <item x="259"/>
        <item x="201"/>
        <item x="228"/>
        <item x="225"/>
        <item x="260"/>
        <item x="194"/>
        <item x="22"/>
        <item x="230"/>
        <item x="88"/>
        <item x="100"/>
        <item x="101"/>
        <item x="229"/>
        <item x="300"/>
        <item x="23"/>
        <item x="89"/>
        <item x="90"/>
        <item x="292"/>
        <item x="52"/>
        <item x="149"/>
        <item x="248"/>
        <item x="93"/>
        <item x="164"/>
        <item x="76"/>
        <item x="77"/>
        <item x="278"/>
        <item x="293"/>
        <item x="108"/>
        <item x="114"/>
        <item x="295"/>
        <item x="207"/>
        <item x="209"/>
        <item x="172"/>
        <item x="173"/>
        <item x="171"/>
        <item x="51"/>
        <item x="13"/>
        <item x="83"/>
        <item x="3"/>
        <item x="117"/>
        <item x="116"/>
        <item x="202"/>
        <item x="14"/>
        <item x="11"/>
        <item x="102"/>
        <item x="158"/>
        <item x="94"/>
        <item x="98"/>
        <item x="97"/>
        <item x="28"/>
        <item x="95"/>
        <item x="96"/>
        <item x="44"/>
        <item x="43"/>
        <item x="267"/>
        <item x="269"/>
        <item x="266"/>
        <item x="62"/>
        <item x="250"/>
        <item x="146"/>
        <item x="159"/>
        <item x="121"/>
        <item x="204"/>
        <item x="211"/>
        <item x="193"/>
        <item x="59"/>
        <item x="150"/>
        <item x="60"/>
        <item x="195"/>
        <item x="215"/>
        <item x="4"/>
        <item x="5"/>
        <item x="246"/>
        <item x="30"/>
        <item x="258"/>
        <item x="257"/>
        <item x="103"/>
        <item x="12"/>
        <item x="104"/>
        <item x="105"/>
        <item x="289"/>
        <item x="277"/>
        <item x="297"/>
        <item x="55"/>
        <item x="81"/>
        <item x="298"/>
        <item x="240"/>
        <item x="227"/>
        <item x="137"/>
        <item x="111"/>
        <item x="141"/>
        <item x="294"/>
        <item x="109"/>
        <item x="115"/>
        <item x="142"/>
        <item x="143"/>
        <item x="110"/>
        <item x="179"/>
        <item x="174"/>
        <item x="244"/>
        <item x="210"/>
        <item x="224"/>
        <item x="226"/>
        <item x="213"/>
        <item x="134"/>
        <item x="124"/>
        <item x="187"/>
        <item x="72"/>
        <item x="214"/>
        <item x="26"/>
        <item x="274"/>
        <item x="31"/>
        <item x="119"/>
        <item x="178"/>
        <item x="177"/>
        <item x="165"/>
        <item x="168"/>
        <item x="169"/>
        <item x="170"/>
        <item x="140"/>
        <item x="304"/>
        <item x="305"/>
        <item x="306"/>
        <item x="307"/>
        <item x="308"/>
        <item x="309"/>
      </items>
    </pivotField>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numFmtId="14" outline="0" showAll="0"/>
    <pivotField compact="0" outline="0" showAll="0"/>
    <pivotField compact="0" outline="0" showAll="0"/>
    <pivotField compact="0" outline="0" multipleItemSelectionAllowed="1" showAll="0"/>
    <pivotField compact="0" outline="0" showAll="0"/>
    <pivotField compact="0" outline="0" showAll="0"/>
  </pivotFields>
  <rowFields count="4">
    <field x="6"/>
    <field x="0"/>
    <field x="1"/>
    <field x="4"/>
  </rowFields>
  <rowItems count="376">
    <i>
      <x/>
      <x v="252"/>
      <x/>
      <x v="70"/>
    </i>
    <i>
      <x v="1"/>
      <x v="281"/>
      <x v="1"/>
      <x v="64"/>
    </i>
    <i>
      <x v="2"/>
      <x v="356"/>
      <x/>
      <x v="14"/>
    </i>
    <i>
      <x v="3"/>
      <x v="361"/>
      <x/>
      <x v="14"/>
    </i>
    <i>
      <x v="4"/>
      <x v="30"/>
      <x v="1"/>
      <x v="19"/>
    </i>
    <i r="1">
      <x v="32"/>
      <x v="1"/>
      <x v="62"/>
    </i>
    <i>
      <x v="5"/>
      <x v="330"/>
      <x/>
      <x v="56"/>
    </i>
    <i>
      <x v="6"/>
      <x v="256"/>
      <x/>
      <x v="75"/>
    </i>
    <i>
      <x v="7"/>
      <x v="291"/>
      <x/>
      <x v="16"/>
    </i>
    <i r="1">
      <x v="293"/>
      <x/>
      <x v="57"/>
    </i>
    <i>
      <x v="8"/>
      <x v="103"/>
      <x/>
      <x v="31"/>
    </i>
    <i>
      <x v="9"/>
      <x v="81"/>
      <x/>
      <x v="2"/>
    </i>
    <i>
      <x v="10"/>
      <x v="80"/>
      <x/>
      <x v="2"/>
    </i>
    <i>
      <x v="11"/>
      <x/>
      <x/>
      <x v="2"/>
    </i>
    <i>
      <x v="12"/>
      <x v="79"/>
      <x/>
      <x v="2"/>
    </i>
    <i>
      <x v="13"/>
      <x v="104"/>
      <x/>
      <x v="31"/>
    </i>
    <i>
      <x v="14"/>
      <x v="149"/>
      <x/>
      <x v="2"/>
    </i>
    <i>
      <x v="15"/>
      <x v="148"/>
      <x/>
      <x v="2"/>
    </i>
    <i>
      <x v="16"/>
      <x v="147"/>
      <x/>
      <x v="2"/>
    </i>
    <i>
      <x v="17"/>
      <x v="88"/>
      <x/>
      <x v="75"/>
    </i>
    <i>
      <x v="18"/>
      <x v="131"/>
      <x/>
      <x v="20"/>
    </i>
    <i>
      <x v="19"/>
      <x v="157"/>
      <x/>
      <x v="23"/>
    </i>
    <i r="1">
      <x v="160"/>
      <x/>
      <x v="57"/>
    </i>
    <i r="1">
      <x v="163"/>
      <x/>
      <x v="17"/>
    </i>
    <i r="1">
      <x v="168"/>
      <x/>
      <x v="67"/>
    </i>
    <i r="1">
      <x v="170"/>
      <x/>
      <x v="69"/>
    </i>
    <i>
      <x v="20"/>
      <x v="362"/>
      <x/>
      <x v="14"/>
    </i>
    <i>
      <x v="21"/>
      <x v="280"/>
      <x v="1"/>
      <x v="18"/>
    </i>
    <i>
      <x v="22"/>
      <x v="284"/>
      <x v="1"/>
      <x v="18"/>
    </i>
    <i>
      <x v="23"/>
      <x v="275"/>
      <x v="1"/>
      <x v="18"/>
    </i>
    <i>
      <x v="24"/>
      <x v="94"/>
      <x/>
      <x v="3"/>
    </i>
    <i>
      <x v="25"/>
      <x v="315"/>
      <x/>
      <x v="3"/>
    </i>
    <i>
      <x v="26"/>
      <x v="119"/>
      <x/>
      <x v="12"/>
    </i>
    <i>
      <x v="27"/>
      <x v="344"/>
      <x/>
      <x v="13"/>
    </i>
    <i>
      <x v="28"/>
      <x v="26"/>
      <x/>
      <x v="54"/>
    </i>
    <i r="1">
      <x v="266"/>
      <x/>
      <x v="54"/>
    </i>
    <i>
      <x v="29"/>
      <x v="28"/>
      <x/>
      <x v="51"/>
    </i>
    <i>
      <x v="30"/>
      <x v="269"/>
      <x/>
      <x v="51"/>
    </i>
    <i>
      <x v="31"/>
      <x v="357"/>
      <x/>
      <x v="14"/>
    </i>
    <i>
      <x v="32"/>
      <x v="112"/>
      <x/>
      <x v="15"/>
    </i>
    <i>
      <x v="33"/>
      <x v="332"/>
      <x/>
      <x v="15"/>
    </i>
    <i>
      <x v="34"/>
      <x v="156"/>
      <x/>
      <x v="22"/>
    </i>
    <i r="1">
      <x v="159"/>
      <x/>
      <x v="57"/>
    </i>
    <i>
      <x v="35"/>
      <x v="172"/>
      <x/>
      <x v="20"/>
    </i>
    <i>
      <x v="36"/>
      <x v="261"/>
      <x/>
      <x v="80"/>
    </i>
    <i>
      <x v="37"/>
      <x v="264"/>
      <x/>
      <x v="76"/>
    </i>
    <i>
      <x v="38"/>
      <x v="184"/>
      <x/>
      <x v="36"/>
    </i>
    <i>
      <x v="39"/>
      <x v="113"/>
      <x/>
      <x v="8"/>
    </i>
    <i>
      <x v="40"/>
      <x v="338"/>
      <x/>
      <x v="8"/>
    </i>
    <i>
      <x v="41"/>
      <x v="173"/>
      <x/>
      <x v="54"/>
    </i>
    <i>
      <x v="43"/>
      <x v="326"/>
      <x/>
      <x v="20"/>
    </i>
    <i>
      <x v="44"/>
      <x v="171"/>
      <x/>
      <x v="20"/>
    </i>
    <i>
      <x v="45"/>
      <x v="122"/>
      <x/>
      <x v="14"/>
    </i>
    <i>
      <x v="46"/>
      <x v="349"/>
      <x/>
      <x v="14"/>
    </i>
    <i>
      <x v="47"/>
      <x v="348"/>
      <x/>
      <x v="14"/>
    </i>
    <i>
      <x v="48"/>
      <x v="347"/>
      <x/>
      <x v="14"/>
    </i>
    <i>
      <x v="49"/>
      <x v="352"/>
      <x/>
      <x v="14"/>
    </i>
    <i>
      <x v="50"/>
      <x v="351"/>
      <x/>
      <x v="14"/>
    </i>
    <i>
      <x v="51"/>
      <x v="121"/>
      <x/>
      <x v="14"/>
    </i>
    <i>
      <x v="52"/>
      <x v="124"/>
      <x/>
      <x v="14"/>
    </i>
    <i>
      <x v="53"/>
      <x v="123"/>
      <x/>
      <x v="14"/>
    </i>
    <i r="1">
      <x v="358"/>
      <x/>
      <x v="14"/>
    </i>
    <i>
      <x v="54"/>
      <x v="8"/>
      <x/>
      <x v="66"/>
    </i>
    <i>
      <x v="55"/>
      <x v="38"/>
      <x v="1"/>
      <x v="19"/>
    </i>
    <i>
      <x v="56"/>
      <x v="138"/>
      <x/>
      <x v="1"/>
    </i>
    <i r="1">
      <x v="151"/>
      <x/>
      <x v="1"/>
    </i>
    <i>
      <x v="57"/>
      <x v="209"/>
      <x/>
      <x v="73"/>
    </i>
    <i>
      <x v="58"/>
      <x v="29"/>
      <x v="1"/>
      <x v="19"/>
    </i>
    <i>
      <x v="59"/>
      <x v="196"/>
      <x/>
      <x v="65"/>
    </i>
    <i>
      <x v="60"/>
      <x v="285"/>
      <x v="1"/>
      <x v="18"/>
    </i>
    <i>
      <x v="61"/>
      <x v="78"/>
      <x/>
      <x v="24"/>
    </i>
    <i>
      <x v="62"/>
      <x v="321"/>
      <x/>
      <x v="3"/>
    </i>
    <i>
      <x v="63"/>
      <x v="58"/>
      <x/>
      <x v="75"/>
    </i>
    <i>
      <x v="64"/>
      <x v="367"/>
      <x/>
      <x v="54"/>
    </i>
    <i>
      <x v="65"/>
      <x v="231"/>
      <x/>
      <x v="5"/>
    </i>
    <i>
      <x v="66"/>
      <x v="232"/>
      <x/>
      <x v="5"/>
    </i>
    <i>
      <x v="67"/>
      <x v="278"/>
      <x v="1"/>
      <x v="18"/>
    </i>
    <i>
      <x v="68"/>
      <x v="35"/>
      <x v="1"/>
      <x v="66"/>
    </i>
    <i>
      <x v="69"/>
      <x v="320"/>
      <x/>
      <x v="31"/>
    </i>
    <i>
      <x v="70"/>
      <x v="322"/>
      <x/>
      <x v="3"/>
    </i>
    <i>
      <x v="71"/>
      <x v="214"/>
      <x/>
      <x v="9"/>
    </i>
    <i>
      <x v="72"/>
      <x v="219"/>
      <x/>
      <x v="85"/>
    </i>
    <i>
      <x v="73"/>
      <x v="276"/>
      <x v="1"/>
      <x v="18"/>
    </i>
    <i>
      <x v="74"/>
      <x v="337"/>
      <x/>
      <x v="10"/>
    </i>
    <i>
      <x v="75"/>
      <x v="220"/>
      <x/>
      <x v="85"/>
    </i>
    <i>
      <x v="76"/>
      <x v="215"/>
      <x/>
      <x v="9"/>
    </i>
    <i>
      <x v="77"/>
      <x v="297"/>
      <x/>
      <x v="37"/>
    </i>
    <i>
      <x v="78"/>
      <x v="96"/>
      <x/>
      <x v="31"/>
    </i>
    <i>
      <x v="79"/>
      <x v="247"/>
      <x/>
      <x v="33"/>
    </i>
    <i>
      <x v="80"/>
      <x v="182"/>
      <x/>
      <x v="51"/>
    </i>
    <i>
      <x v="81"/>
      <x v="371"/>
      <x/>
      <x v="54"/>
    </i>
    <i>
      <x v="82"/>
      <x v="370"/>
      <x/>
      <x v="54"/>
    </i>
    <i>
      <x v="83"/>
      <x v="174"/>
      <x/>
      <x v="54"/>
    </i>
    <i>
      <x v="84"/>
      <x v="369"/>
      <x/>
      <x v="54"/>
    </i>
    <i>
      <x v="85"/>
      <x v="175"/>
      <x/>
      <x v="54"/>
    </i>
    <i>
      <x v="86"/>
      <x v="179"/>
      <x/>
      <x v="54"/>
    </i>
    <i>
      <x v="87"/>
      <x v="1"/>
      <x/>
      <x v="54"/>
    </i>
    <i>
      <x v="88"/>
      <x v="34"/>
      <x/>
      <x v="61"/>
    </i>
    <i>
      <x v="89"/>
      <x v="64"/>
      <x/>
      <x v="75"/>
    </i>
    <i r="1">
      <x v="65"/>
      <x/>
      <x v="27"/>
    </i>
    <i r="1">
      <x v="66"/>
      <x/>
      <x v="78"/>
    </i>
    <i r="1">
      <x v="67"/>
      <x/>
      <x v="41"/>
    </i>
    <i r="1">
      <x v="68"/>
      <x/>
      <x/>
    </i>
    <i r="1">
      <x v="69"/>
      <x/>
      <x v="46"/>
    </i>
    <i>
      <x v="90"/>
      <x v="9"/>
      <x/>
      <x v="66"/>
    </i>
    <i>
      <x v="91"/>
      <x v="116"/>
      <x/>
      <x v="75"/>
    </i>
    <i r="1">
      <x v="117"/>
      <x/>
      <x v="71"/>
    </i>
    <i>
      <x v="92"/>
      <x v="102"/>
      <x/>
      <x v="65"/>
    </i>
    <i>
      <x v="93"/>
      <x v="197"/>
      <x/>
      <x v="65"/>
    </i>
    <i>
      <x v="94"/>
      <x v="288"/>
      <x v="1"/>
      <x v="64"/>
    </i>
    <i>
      <x v="95"/>
      <x v="158"/>
      <x/>
      <x v="84"/>
    </i>
    <i>
      <x v="97"/>
      <x v="128"/>
      <x/>
      <x v="49"/>
    </i>
    <i>
      <x v="98"/>
      <x v="359"/>
      <x/>
      <x v="35"/>
    </i>
    <i>
      <x v="99"/>
      <x v="273"/>
      <x v="1"/>
      <x v="39"/>
    </i>
    <i>
      <x v="100"/>
      <x v="7"/>
      <x/>
      <x v="5"/>
    </i>
    <i>
      <x v="101"/>
      <x v="155"/>
      <x/>
      <x v="83"/>
    </i>
    <i>
      <x v="102"/>
      <x v="224"/>
      <x/>
      <x v="30"/>
    </i>
    <i>
      <x v="103"/>
      <x v="17"/>
      <x/>
      <x v="47"/>
    </i>
    <i>
      <x v="104"/>
      <x v="239"/>
      <x/>
      <x v="66"/>
    </i>
    <i>
      <x v="105"/>
      <x v="10"/>
      <x/>
      <x v="66"/>
    </i>
    <i>
      <x v="106"/>
      <x v="318"/>
      <x/>
      <x v="31"/>
    </i>
    <i>
      <x v="107"/>
      <x v="105"/>
      <x/>
      <x v="31"/>
    </i>
    <i>
      <x v="108"/>
      <x v="89"/>
      <x/>
      <x v="3"/>
    </i>
    <i>
      <x v="109"/>
      <x v="2"/>
      <x/>
      <x v="54"/>
    </i>
    <i>
      <x v="110"/>
      <x v="176"/>
      <x/>
      <x v="54"/>
    </i>
    <i>
      <x v="111"/>
      <x v="324"/>
      <x/>
      <x v="20"/>
    </i>
    <i>
      <x v="112"/>
      <x v="84"/>
      <x/>
      <x v="82"/>
    </i>
    <i>
      <x v="113"/>
      <x v="248"/>
      <x/>
      <x v="32"/>
    </i>
    <i>
      <x v="114"/>
      <x v="254"/>
      <x/>
      <x v="75"/>
    </i>
    <i>
      <x v="115"/>
      <x v="255"/>
      <x/>
      <x v="75"/>
    </i>
    <i>
      <x v="116"/>
      <x v="180"/>
      <x/>
      <x v="54"/>
    </i>
    <i>
      <x v="117"/>
      <x v="258"/>
      <x/>
      <x v="75"/>
    </i>
    <i>
      <x v="118"/>
      <x v="257"/>
      <x/>
      <x v="75"/>
    </i>
    <i>
      <x v="119"/>
      <x v="106"/>
      <x/>
      <x v="31"/>
    </i>
    <i>
      <x v="120"/>
      <x v="6"/>
      <x/>
      <x v="82"/>
    </i>
    <i>
      <x v="121"/>
      <x v="15"/>
      <x/>
      <x v="28"/>
    </i>
    <i>
      <x v="122"/>
      <x v="16"/>
      <x/>
      <x v="32"/>
    </i>
    <i>
      <x v="123"/>
      <x v="21"/>
      <x/>
      <x v="75"/>
    </i>
    <i>
      <x v="124"/>
      <x v="274"/>
      <x v="1"/>
      <x v="19"/>
    </i>
    <i>
      <x v="125"/>
      <x v="125"/>
      <x/>
      <x v="14"/>
    </i>
    <i r="1">
      <x v="126"/>
      <x/>
      <x v="14"/>
    </i>
    <i>
      <x v="126"/>
      <x v="59"/>
      <x/>
      <x v="41"/>
    </i>
    <i r="1">
      <x v="60"/>
      <x/>
      <x v="32"/>
    </i>
    <i>
      <x v="127"/>
      <x v="325"/>
      <x/>
      <x v="20"/>
    </i>
    <i>
      <x v="128"/>
      <x v="313"/>
      <x/>
      <x v="68"/>
    </i>
    <i>
      <x v="129"/>
      <x v="195"/>
      <x/>
      <x v="65"/>
    </i>
    <i>
      <x v="130"/>
      <x v="18"/>
      <x/>
      <x v="47"/>
    </i>
    <i>
      <x v="131"/>
      <x v="90"/>
      <x/>
      <x v="3"/>
    </i>
    <i>
      <x v="132"/>
      <x v="336"/>
      <x/>
      <x v="37"/>
    </i>
    <i>
      <x v="133"/>
      <x v="183"/>
      <x/>
      <x v="36"/>
    </i>
    <i r="1">
      <x v="189"/>
      <x/>
      <x v="36"/>
    </i>
    <i>
      <x v="134"/>
      <x v="27"/>
      <x/>
      <x v="51"/>
    </i>
    <i>
      <x v="135"/>
      <x v="218"/>
      <x/>
      <x v="19"/>
    </i>
    <i>
      <x v="136"/>
      <x v="192"/>
      <x/>
      <x v="68"/>
    </i>
    <i>
      <x v="137"/>
      <x v="193"/>
      <x/>
      <x v="37"/>
    </i>
    <i>
      <x v="138"/>
      <x v="296"/>
      <x/>
      <x v="37"/>
    </i>
    <i>
      <x v="139"/>
      <x v="335"/>
      <x/>
      <x v="37"/>
    </i>
    <i>
      <x v="140"/>
      <x v="111"/>
      <x/>
      <x v="37"/>
    </i>
    <i>
      <x v="141"/>
      <x v="277"/>
      <x v="1"/>
      <x v="18"/>
    </i>
    <i>
      <x v="142"/>
      <x v="270"/>
      <x v="1"/>
      <x v="18"/>
    </i>
    <i>
      <x v="143"/>
      <x v="150"/>
      <x/>
      <x v="16"/>
    </i>
    <i r="1">
      <x v="292"/>
      <x/>
      <x v="21"/>
    </i>
    <i r="1">
      <x v="312"/>
      <x/>
      <x v="4"/>
    </i>
    <i>
      <x v="144"/>
      <x v="161"/>
      <x/>
      <x v="17"/>
    </i>
    <i r="1">
      <x v="166"/>
      <x/>
      <x v="67"/>
    </i>
    <i>
      <x v="145"/>
      <x v="162"/>
      <x/>
      <x v="17"/>
    </i>
    <i r="1">
      <x v="167"/>
      <x/>
      <x v="67"/>
    </i>
    <i>
      <x v="146"/>
      <x v="169"/>
      <x/>
      <x v="69"/>
    </i>
    <i>
      <x v="147"/>
      <x v="136"/>
      <x/>
      <x v="36"/>
    </i>
    <i r="1">
      <x v="187"/>
      <x/>
      <x v="36"/>
    </i>
    <i>
      <x v="148"/>
      <x v="31"/>
      <x v="1"/>
      <x v="19"/>
    </i>
    <i>
      <x v="149"/>
      <x v="25"/>
      <x/>
      <x v="54"/>
    </i>
    <i>
      <x v="150"/>
      <x v="272"/>
      <x v="1"/>
      <x v="25"/>
    </i>
    <i>
      <x v="151"/>
      <x v="282"/>
      <x v="1"/>
      <x v="20"/>
    </i>
    <i>
      <x v="152"/>
      <x v="127"/>
      <x/>
      <x v="35"/>
    </i>
    <i>
      <x v="153"/>
      <x v="222"/>
      <x/>
      <x v="30"/>
    </i>
    <i>
      <x v="154"/>
      <x v="153"/>
      <x/>
      <x v="1"/>
    </i>
    <i r="1">
      <x v="199"/>
      <x/>
      <x v="1"/>
    </i>
    <i r="1">
      <x v="203"/>
      <x/>
      <x v="38"/>
    </i>
    <i r="1">
      <x v="206"/>
      <x/>
      <x v="38"/>
    </i>
    <i r="1">
      <x v="210"/>
      <x/>
      <x v="73"/>
    </i>
    <i r="1">
      <x v="212"/>
      <x/>
      <x v="74"/>
    </i>
    <i>
      <x v="155"/>
      <x v="37"/>
      <x v="1"/>
      <x v="48"/>
    </i>
    <i>
      <x v="156"/>
      <x v="140"/>
      <x/>
      <x v="38"/>
    </i>
    <i r="1">
      <x v="154"/>
      <x/>
      <x v="1"/>
    </i>
    <i r="1">
      <x v="200"/>
      <x/>
      <x v="1"/>
    </i>
    <i r="1">
      <x v="207"/>
      <x/>
      <x v="38"/>
    </i>
    <i r="1">
      <x v="211"/>
      <x/>
      <x v="73"/>
    </i>
    <i r="1">
      <x v="213"/>
      <x/>
      <x v="74"/>
    </i>
    <i>
      <x v="157"/>
      <x v="355"/>
      <x/>
      <x v="14"/>
    </i>
    <i>
      <x v="158"/>
      <x v="133"/>
      <x/>
      <x v="54"/>
    </i>
    <i>
      <x v="159"/>
      <x v="132"/>
      <x/>
      <x v="7"/>
    </i>
    <i r="1">
      <x v="314"/>
      <x/>
      <x v="11"/>
    </i>
    <i>
      <x v="161"/>
      <x v="227"/>
      <x/>
      <x v="82"/>
    </i>
    <i>
      <x v="162"/>
      <x v="95"/>
      <x/>
      <x v="3"/>
    </i>
    <i>
      <x v="163"/>
      <x v="185"/>
      <x/>
      <x v="36"/>
    </i>
    <i>
      <x v="164"/>
      <x v="327"/>
      <x v="1"/>
      <x v="18"/>
    </i>
    <i>
      <x v="165"/>
      <x v="202"/>
      <x/>
      <x v="38"/>
    </i>
    <i r="1">
      <x v="205"/>
      <x/>
      <x v="38"/>
    </i>
    <i>
      <x v="166"/>
      <x v="201"/>
      <x/>
      <x v="38"/>
    </i>
    <i r="1">
      <x v="204"/>
      <x/>
      <x v="38"/>
    </i>
    <i>
      <x v="167"/>
      <x v="75"/>
      <x/>
      <x v="24"/>
    </i>
    <i r="1">
      <x v="86"/>
      <x/>
      <x v="72"/>
    </i>
    <i>
      <x v="168"/>
      <x v="289"/>
      <x/>
      <x v="24"/>
    </i>
    <i>
      <x v="169"/>
      <x v="76"/>
      <x/>
      <x v="24"/>
    </i>
    <i r="1">
      <x v="87"/>
      <x/>
      <x v="72"/>
    </i>
    <i>
      <x v="170"/>
      <x v="77"/>
      <x/>
      <x v="24"/>
    </i>
    <i>
      <x v="171"/>
      <x v="290"/>
      <x/>
      <x v="24"/>
    </i>
    <i>
      <x v="172"/>
      <x v="342"/>
      <x/>
      <x v="50"/>
    </i>
    <i>
      <x v="173"/>
      <x v="343"/>
      <x/>
      <x v="50"/>
    </i>
    <i>
      <x v="174"/>
      <x v="346"/>
      <x/>
      <x v="14"/>
    </i>
    <i>
      <x v="175"/>
      <x v="143"/>
      <x/>
      <x v="70"/>
    </i>
    <i>
      <x v="176"/>
      <x v="142"/>
      <x/>
      <x v="45"/>
    </i>
    <i>
      <x v="177"/>
      <x v="306"/>
      <x/>
      <x v="42"/>
    </i>
    <i>
      <x v="178"/>
      <x v="307"/>
      <x/>
      <x v="43"/>
    </i>
    <i>
      <x v="179"/>
      <x v="85"/>
      <x/>
      <x v="66"/>
    </i>
    <i>
      <x v="180"/>
      <x v="226"/>
      <x/>
      <x v="82"/>
    </i>
    <i>
      <x v="181"/>
      <x v="225"/>
      <x/>
      <x v="82"/>
    </i>
    <i>
      <x v="182"/>
      <x v="333"/>
      <x/>
      <x v="26"/>
    </i>
    <i>
      <x v="183"/>
      <x v="329"/>
      <x/>
      <x v="29"/>
    </i>
    <i>
      <x v="184"/>
      <x v="328"/>
      <x/>
      <x v="63"/>
    </i>
    <i>
      <x v="185"/>
      <x v="191"/>
      <x/>
      <x v="68"/>
    </i>
    <i>
      <x v="186"/>
      <x v="188"/>
      <x/>
      <x v="36"/>
    </i>
    <i r="1">
      <x v="190"/>
      <x/>
      <x v="36"/>
    </i>
    <i>
      <x v="187"/>
      <x v="198"/>
      <x/>
      <x v="36"/>
    </i>
    <i>
      <x v="188"/>
      <x v="340"/>
      <x/>
      <x v="37"/>
    </i>
    <i>
      <x v="189"/>
      <x v="91"/>
      <x/>
      <x v="3"/>
    </i>
    <i>
      <x v="190"/>
      <x v="110"/>
      <x/>
      <x v="3"/>
    </i>
    <i>
      <x v="191"/>
      <x v="107"/>
      <x/>
      <x v="31"/>
    </i>
    <i>
      <x v="192"/>
      <x v="115"/>
      <x/>
      <x v="3"/>
    </i>
    <i>
      <x v="193"/>
      <x v="137"/>
      <x/>
      <x v="65"/>
    </i>
    <i>
      <x v="194"/>
      <x v="134"/>
      <x/>
      <x v="52"/>
    </i>
    <i>
      <x v="195"/>
      <x v="323"/>
      <x/>
      <x v="66"/>
    </i>
    <i>
      <x v="196"/>
      <x v="228"/>
      <x/>
      <x v="82"/>
    </i>
    <i>
      <x v="197"/>
      <x v="240"/>
      <x/>
      <x v="66"/>
    </i>
    <i>
      <x v="198"/>
      <x v="241"/>
      <x/>
      <x v="66"/>
    </i>
    <i>
      <x v="199"/>
      <x v="242"/>
      <x/>
      <x v="66"/>
    </i>
    <i>
      <x v="200"/>
      <x v="368"/>
      <x/>
      <x v="30"/>
    </i>
    <i>
      <x v="201"/>
      <x v="135"/>
      <x/>
      <x v="36"/>
    </i>
    <i r="1">
      <x v="186"/>
      <x/>
      <x v="36"/>
    </i>
    <i>
      <x v="202"/>
      <x v="229"/>
      <x/>
      <x v="86"/>
    </i>
    <i>
      <x v="203"/>
      <x v="230"/>
      <x/>
      <x v="86"/>
    </i>
    <i>
      <x v="204"/>
      <x v="363"/>
      <x/>
      <x v="14"/>
    </i>
    <i>
      <x v="205"/>
      <x v="178"/>
      <x/>
      <x v="54"/>
    </i>
    <i>
      <x v="206"/>
      <x v="70"/>
      <x/>
      <x v="75"/>
    </i>
    <i>
      <x v="207"/>
      <x v="334"/>
      <x/>
      <x v="61"/>
    </i>
    <i>
      <x v="208"/>
      <x v="233"/>
      <x/>
      <x v="5"/>
    </i>
    <i>
      <x v="209"/>
      <x v="294"/>
      <x/>
      <x v="53"/>
    </i>
    <i>
      <x v="210"/>
      <x v="216"/>
      <x/>
      <x v="9"/>
    </i>
    <i>
      <x v="211"/>
      <x v="217"/>
      <x/>
      <x v="9"/>
    </i>
    <i>
      <x v="212"/>
      <x v="354"/>
      <x/>
      <x v="14"/>
    </i>
    <i>
      <x v="213"/>
      <x v="364"/>
      <x/>
      <x v="14"/>
    </i>
    <i>
      <x v="214"/>
      <x v="249"/>
      <x/>
      <x v="33"/>
    </i>
    <i>
      <x v="215"/>
      <x v="259"/>
      <x/>
      <x v="75"/>
    </i>
    <i>
      <x v="216"/>
      <x v="366"/>
      <x/>
      <x v="14"/>
    </i>
    <i>
      <x v="217"/>
      <x v="316"/>
      <x/>
      <x v="31"/>
    </i>
    <i>
      <x v="218"/>
      <x v="97"/>
      <x/>
      <x v="31"/>
    </i>
    <i>
      <x v="219"/>
      <x v="302"/>
      <x/>
      <x v="31"/>
    </i>
    <i>
      <x v="220"/>
      <x v="303"/>
      <x/>
      <x v="3"/>
    </i>
    <i>
      <x v="221"/>
      <x v="301"/>
      <x/>
      <x v="6"/>
    </i>
    <i>
      <x v="222"/>
      <x v="177"/>
      <x/>
      <x v="55"/>
    </i>
    <i>
      <x v="223"/>
      <x v="13"/>
      <x/>
      <x v="66"/>
    </i>
    <i>
      <x v="224"/>
      <x v="223"/>
      <x/>
      <x v="30"/>
    </i>
    <i>
      <x v="225"/>
      <x v="3"/>
      <x/>
      <x v="51"/>
    </i>
    <i>
      <x v="226"/>
      <x v="24"/>
      <x/>
      <x v="54"/>
    </i>
    <i>
      <x v="227"/>
      <x v="23"/>
      <x/>
      <x v="54"/>
    </i>
    <i>
      <x v="228"/>
      <x v="92"/>
      <x/>
      <x v="3"/>
    </i>
    <i>
      <x v="229"/>
      <x v="14"/>
      <x/>
      <x v="66"/>
    </i>
    <i>
      <x v="230"/>
      <x v="11"/>
      <x/>
      <x v="66"/>
    </i>
    <i>
      <x v="231"/>
      <x v="243"/>
      <x/>
      <x v="66"/>
    </i>
    <i>
      <x v="232"/>
      <x v="82"/>
      <x/>
      <x v="58"/>
    </i>
    <i>
      <x v="233"/>
      <x v="234"/>
      <x/>
      <x v="58"/>
    </i>
    <i>
      <x v="234"/>
      <x v="238"/>
      <x/>
      <x v="58"/>
    </i>
    <i>
      <x v="235"/>
      <x v="237"/>
      <x/>
      <x v="58"/>
    </i>
    <i>
      <x v="236"/>
      <x v="141"/>
      <x/>
      <x v="58"/>
    </i>
    <i>
      <x v="237"/>
      <x v="235"/>
      <x/>
      <x v="58"/>
    </i>
    <i>
      <x v="238"/>
      <x v="236"/>
      <x/>
      <x v="58"/>
    </i>
    <i>
      <x v="239"/>
      <x v="165"/>
      <x/>
      <x v="59"/>
    </i>
    <i>
      <x v="240"/>
      <x v="164"/>
      <x/>
      <x v="59"/>
    </i>
    <i>
      <x v="241"/>
      <x v="118"/>
      <x/>
      <x v="60"/>
    </i>
    <i>
      <x v="242"/>
      <x v="120"/>
      <x/>
      <x v="60"/>
    </i>
    <i>
      <x v="243"/>
      <x v="345"/>
      <x/>
      <x v="60"/>
    </i>
    <i>
      <x v="244"/>
      <x v="22"/>
      <x/>
      <x v="61"/>
    </i>
    <i>
      <x v="245"/>
      <x v="287"/>
      <x v="1"/>
      <x v="64"/>
    </i>
    <i>
      <x v="246"/>
      <x v="61"/>
      <x/>
      <x v="75"/>
    </i>
    <i r="1">
      <x v="62"/>
      <x/>
      <x v="41"/>
    </i>
    <i r="1">
      <x v="63"/>
      <x/>
      <x v="32"/>
    </i>
    <i>
      <x v="247"/>
      <x v="83"/>
      <x/>
      <x v="51"/>
    </i>
    <i>
      <x v="248"/>
      <x v="265"/>
      <x/>
      <x v="54"/>
    </i>
    <i r="1">
      <x v="268"/>
      <x/>
      <x v="51"/>
    </i>
    <i>
      <x v="249"/>
      <x v="93"/>
      <x/>
      <x v="3"/>
    </i>
    <i>
      <x v="250"/>
      <x v="98"/>
      <x/>
      <x v="31"/>
    </i>
    <i>
      <x v="251"/>
      <x v="286"/>
      <x v="1"/>
      <x v="18"/>
    </i>
    <i>
      <x v="252"/>
      <x v="19"/>
      <x/>
      <x v="61"/>
    </i>
    <i r="1">
      <x v="72"/>
      <x/>
      <x v="61"/>
    </i>
    <i>
      <x v="253"/>
      <x v="71"/>
      <x/>
      <x v="61"/>
    </i>
    <i r="1">
      <x v="73"/>
      <x/>
      <x v="61"/>
    </i>
    <i>
      <x v="254"/>
      <x v="20"/>
      <x/>
      <x v="61"/>
    </i>
    <i r="1">
      <x v="74"/>
      <x/>
      <x v="61"/>
    </i>
    <i>
      <x v="255"/>
      <x v="194"/>
      <x/>
      <x v="65"/>
    </i>
    <i>
      <x v="256"/>
      <x v="101"/>
      <x/>
      <x v="65"/>
    </i>
    <i>
      <x v="257"/>
      <x v="4"/>
      <x/>
      <x v="51"/>
    </i>
    <i>
      <x v="258"/>
      <x v="5"/>
      <x/>
      <x v="51"/>
    </i>
    <i>
      <x v="259"/>
      <x v="263"/>
      <x/>
      <x v="76"/>
    </i>
    <i>
      <x v="260"/>
      <x v="144"/>
      <x/>
      <x v="33"/>
    </i>
    <i>
      <x v="261"/>
      <x v="114"/>
      <x/>
      <x v="8"/>
    </i>
    <i>
      <x v="262"/>
      <x v="339"/>
      <x/>
      <x v="8"/>
    </i>
    <i>
      <x v="263"/>
      <x v="244"/>
      <x/>
      <x v="66"/>
    </i>
    <i>
      <x v="264"/>
      <x v="12"/>
      <x/>
      <x v="66"/>
    </i>
    <i>
      <x v="265"/>
      <x v="245"/>
      <x/>
      <x v="66"/>
    </i>
    <i>
      <x v="266"/>
      <x v="246"/>
      <x/>
      <x v="66"/>
    </i>
    <i>
      <x v="267"/>
      <x v="360"/>
      <x/>
      <x v="14"/>
    </i>
    <i>
      <x v="268"/>
      <x v="353"/>
      <x/>
      <x v="14"/>
    </i>
    <i>
      <x v="269"/>
      <x v="129"/>
      <x/>
      <x v="14"/>
    </i>
    <i>
      <x v="270"/>
      <x v="181"/>
      <x/>
      <x v="54"/>
    </i>
    <i>
      <x v="271"/>
      <x v="221"/>
      <x/>
      <x v="30"/>
    </i>
    <i>
      <x v="272"/>
      <x v="130"/>
      <x/>
      <x v="14"/>
    </i>
    <i>
      <x v="273"/>
      <x v="331"/>
      <x/>
      <x v="61"/>
    </i>
    <i>
      <x v="274"/>
      <x v="109"/>
      <x/>
      <x v="3"/>
    </i>
    <i>
      <x v="275"/>
      <x v="36"/>
      <x v="1"/>
      <x v="44"/>
    </i>
    <i>
      <x v="276"/>
      <x v="253"/>
      <x/>
      <x v="87"/>
    </i>
    <i>
      <x v="277"/>
      <x v="40"/>
      <x/>
      <x v="75"/>
    </i>
    <i r="1">
      <x v="41"/>
      <x/>
      <x v="27"/>
    </i>
    <i r="1">
      <x v="42"/>
      <x/>
      <x v="78"/>
    </i>
    <i r="1">
      <x v="43"/>
      <x/>
      <x v="41"/>
    </i>
    <i r="1">
      <x v="44"/>
      <x/>
      <x/>
    </i>
    <i r="1">
      <x v="45"/>
      <x/>
      <x v="46"/>
    </i>
    <i>
      <x v="278"/>
      <x v="365"/>
      <x/>
      <x v="14"/>
    </i>
    <i>
      <x v="279"/>
      <x v="250"/>
      <x/>
      <x v="41"/>
    </i>
    <i>
      <x v="280"/>
      <x v="260"/>
      <x/>
      <x v="75"/>
    </i>
    <i>
      <x v="281"/>
      <x v="46"/>
      <x/>
      <x v="75"/>
    </i>
    <i r="1">
      <x v="47"/>
      <x/>
      <x v="27"/>
    </i>
    <i r="1">
      <x v="48"/>
      <x/>
      <x v="78"/>
    </i>
    <i r="1">
      <x v="49"/>
      <x/>
      <x v="41"/>
    </i>
    <i r="1">
      <x v="50"/>
      <x/>
      <x/>
    </i>
    <i r="1">
      <x v="51"/>
      <x/>
      <x v="46"/>
    </i>
    <i>
      <x v="282"/>
      <x v="52"/>
      <x/>
      <x v="75"/>
    </i>
    <i r="1">
      <x v="53"/>
      <x/>
      <x v="27"/>
    </i>
    <i r="1">
      <x v="54"/>
      <x/>
      <x v="78"/>
    </i>
    <i r="1">
      <x v="55"/>
      <x/>
      <x v="41"/>
    </i>
    <i r="1">
      <x v="56"/>
      <x/>
      <x/>
    </i>
    <i r="1">
      <x v="57"/>
      <x/>
      <x v="46"/>
    </i>
    <i>
      <x v="283"/>
      <x v="251"/>
      <x/>
      <x v="34"/>
    </i>
    <i>
      <x v="284"/>
      <x v="311"/>
      <x/>
      <x v="76"/>
    </i>
    <i>
      <x v="285"/>
      <x v="304"/>
      <x/>
      <x v="41"/>
    </i>
    <i r="1">
      <x v="305"/>
      <x/>
      <x v="41"/>
    </i>
    <i r="1">
      <x v="308"/>
      <x/>
      <x v="75"/>
    </i>
    <i>
      <x v="286"/>
      <x v="145"/>
      <x/>
      <x v="75"/>
    </i>
    <i>
      <x v="287"/>
      <x v="319"/>
      <x/>
      <x v="31"/>
    </i>
    <i>
      <x v="288"/>
      <x v="317"/>
      <x/>
      <x v="3"/>
    </i>
    <i>
      <x v="289"/>
      <x v="108"/>
      <x/>
      <x v="3"/>
    </i>
    <i>
      <x v="290"/>
      <x v="99"/>
      <x/>
      <x v="31"/>
    </i>
    <i>
      <x v="291"/>
      <x v="33"/>
      <x v="1"/>
      <x v="72"/>
    </i>
    <i>
      <x v="292"/>
      <x v="271"/>
      <x v="1"/>
      <x v="72"/>
    </i>
    <i>
      <x v="293"/>
      <x v="279"/>
      <x v="1"/>
      <x v="75"/>
    </i>
    <i>
      <x v="294"/>
      <x v="208"/>
      <x/>
      <x v="73"/>
    </i>
    <i>
      <x v="295"/>
      <x v="100"/>
      <x/>
      <x v="31"/>
    </i>
    <i>
      <x v="296"/>
      <x v="139"/>
      <x/>
      <x v="1"/>
    </i>
    <i r="1">
      <x v="152"/>
      <x/>
      <x v="1"/>
    </i>
    <i>
      <x v="297"/>
      <x v="350"/>
      <x/>
      <x v="14"/>
    </i>
    <i>
      <x v="298"/>
      <x v="146"/>
      <x/>
      <x v="77"/>
    </i>
    <i>
      <x v="299"/>
      <x v="262"/>
      <x/>
      <x v="80"/>
    </i>
    <i>
      <x v="300"/>
      <x v="310"/>
      <x/>
      <x v="79"/>
    </i>
    <i>
      <x v="301"/>
      <x v="309"/>
      <x/>
      <x v="78"/>
    </i>
    <i>
      <x v="302"/>
      <x v="295"/>
      <x/>
      <x v="37"/>
    </i>
    <i>
      <x v="303"/>
      <x v="298"/>
      <x/>
      <x v="66"/>
    </i>
    <i>
      <x v="304"/>
      <x v="299"/>
      <x/>
      <x v="66"/>
    </i>
    <i>
      <x v="305"/>
      <x v="300"/>
      <x/>
      <x v="66"/>
    </i>
    <i>
      <x v="306"/>
      <x v="39"/>
      <x v="1"/>
      <x v="66"/>
    </i>
    <i>
      <x v="307"/>
      <x v="372"/>
      <x/>
      <x v="88"/>
    </i>
    <i>
      <x v="308"/>
      <x v="373"/>
      <x/>
      <x v="54"/>
    </i>
    <i>
      <x v="309"/>
      <x v="374"/>
      <x/>
      <x v="54"/>
    </i>
    <i>
      <x v="310"/>
      <x v="375"/>
      <x/>
      <x v="54"/>
    </i>
    <i>
      <x v="311"/>
      <x v="376"/>
      <x/>
      <x v="54"/>
    </i>
    <i>
      <x v="312"/>
      <x v="377"/>
      <x/>
      <x v="54"/>
    </i>
    <i t="grand">
      <x/>
    </i>
  </rowItems>
  <colItems count="1">
    <i/>
  </colItems>
  <pageFields count="1">
    <pageField fld="5" hier="-1"/>
  </page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MS_Catalog" displayName="PMS_Catalog" ref="A1:AA376" totalsRowShown="0" headerRowDxfId="62" dataDxfId="60" headerRowBorderDxfId="61" tableBorderDxfId="59" totalsRowBorderDxfId="58">
  <autoFilter ref="A1:AA376" xr:uid="{00000000-000C-0000-FFFF-FFFF00000000}"/>
  <tableColumns count="27">
    <tableColumn id="11" xr3:uid="{00000000-0010-0000-0000-00000B000000}" name="WU Id" dataDxfId="57"/>
    <tableColumn id="10" xr3:uid="{00000000-0010-0000-0000-00000A000000}" name="Business Scope" dataDxfId="56"/>
    <tableColumn id="1" xr3:uid="{00000000-0010-0000-0000-000001000000}" name="Hosting Environment" dataDxfId="55"/>
    <tableColumn id="2" xr3:uid="{00000000-0010-0000-0000-000002000000}" name="Tech Tower" dataDxfId="54"/>
    <tableColumn id="26" xr3:uid="{68D05D59-8297-4921-9B2F-FA683E9DAED1}" name="Technology" dataDxfId="53"/>
    <tableColumn id="27" xr3:uid="{E84A8466-E4B5-4639-B4BA-63A31D811248}" name="Activities Category" dataDxfId="52"/>
    <tableColumn id="4" xr3:uid="{00000000-0010-0000-0000-000004000000}" name="Project related Services" dataDxfId="51"/>
    <tableColumn id="6" xr3:uid="{00000000-0010-0000-0000-000006000000}" name="Column1" dataDxfId="50"/>
    <tableColumn id="31" xr3:uid="{AE5DB359-C2E5-4BB3-8CED-2804FC1ADDCF}" name="Standard Request  in SNOW" dataDxfId="49"/>
    <tableColumn id="30" xr3:uid="{80BC2F32-D539-4C61-B01E-58489CA4FDD5}" name="Standard Request link in SNOW" dataDxfId="48"/>
    <tableColumn id="29" xr3:uid="{92ECB743-2B5A-4220-B22C-7CBC6BD2A71E}" name="Change Model Reference ID in SNOW" dataDxfId="47"/>
    <tableColumn id="8" xr3:uid="{00000000-0010-0000-0000-000008000000}" name="Billing unit" dataDxfId="46"/>
    <tableColumn id="38" xr3:uid="{5F225B93-CB2E-F84B-B507-D5AAFCF331BA}" name="UNIQUE PRICE per hour" dataDxfId="45"/>
    <tableColumn id="16" xr3:uid="{C3DE222F-8A8E-4879-9D0A-1A92B86A3A6C}" name="PMS Effort (Hours)" dataDxfId="44"/>
    <tableColumn id="15" xr3:uid="{CA237656-00C8-44DC-8117-9E078D60AF9E}" name="PMS Price with Unique price " dataDxfId="43"/>
    <tableColumn id="14" xr3:uid="{FF08C4BD-FEBC-4A97-A952-7B595D3C7DA9}" name=" Std Delivery Leadtime (Days)" dataDxfId="42"/>
    <tableColumn id="12" xr3:uid="{8E35C24C-3C7B-4DF0-86D5-8D6EA0947D7F}" name="SANOFI Service owner - Service Expert - Service Manager" dataDxfId="41"/>
    <tableColumn id="20" xr3:uid="{5C0DF104-8A2D-4CA1-876C-2F668AC9630E}" name="PMS WU //° rate (%)" dataDxfId="40"/>
    <tableColumn id="34" xr3:uid="{658278DA-F28A-44ED-996D-2A4500429562}" name="Comments" dataDxfId="39"/>
    <tableColumn id="36" xr3:uid="{420EBD9E-C567-401C-8A8B-5514BE2AF4EC}" name="Cab validation date " dataDxfId="38"/>
    <tableColumn id="37" xr3:uid="{E24F745B-7634-BC4D-AD98-A562F47FBD62}" name="Service Catalog  VERSION" dataDxfId="37"/>
    <tableColumn id="41" xr3:uid="{48883342-0E6D-8646-BE00-186C7063E857}" name="Productivity reference date " dataDxfId="36"/>
    <tableColumn id="42" xr3:uid="{459C1BDE-98AD-D443-A910-084160742F2A}" name="Year apply " dataDxfId="35">
      <calculatedColumnFormula>DATEDIF(V2, TODAY(), "Y")</calculatedColumnFormula>
    </tableColumn>
    <tableColumn id="45" xr3:uid="{2FB69063-CBE3-B64F-8580-C1B18C0158DD}" name="%Apply " dataDxfId="34">
      <calculatedColumnFormula array="1">_xlfn.IFS(W1=1,8%,W1=2,10%,W1&gt;2,10%,W1&lt;1,0)</calculatedColumnFormula>
    </tableColumn>
    <tableColumn id="44" xr3:uid="{6E1C5701-8A25-6945-A708-D673C8A1538F}" name="Final Price (with Productivity)" dataDxfId="33">
      <calculatedColumnFormula>IF(ISNUMBER(SEARCH("IMS",A2)),"IMS",O2-O2*X2)</calculatedColumnFormula>
    </tableColumn>
    <tableColumn id="3" xr3:uid="{578F5035-78E2-7941-AF84-CA1AE8F97D8C}" name="WRITE HERE THE NUMBER that you need for : JOBS for PMS_WU_7003 and 7002 OR  for WU PMS_WU_2017 and 2020 and 2241 and 2242" dataDxfId="32"/>
    <tableColumn id="5" xr3:uid="{88E22B97-6506-420F-9E79-18F774A4B2AB}" name="IMS/PMS" dataDxfId="31">
      <calculatedColumnFormula>LEFT(PMS_Catalog[[#This Row],[WU Id]],3)</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6E7D02-15DE-46D7-A319-9F7CF2398E14}" name="Table2" displayName="Table2" ref="A1:AB3" totalsRowShown="0" tableBorderDxfId="30">
  <autoFilter ref="A1:AB3" xr:uid="{076E7D02-15DE-46D7-A319-9F7CF2398E14}"/>
  <tableColumns count="28">
    <tableColumn id="1" xr3:uid="{3A68048B-A653-4563-B3BA-DB31300F4913}" name="WU Id" dataDxfId="29"/>
    <tableColumn id="2" xr3:uid="{F3B05EE0-FB41-443C-B297-4B743D529C97}" name="Business Scope" dataDxfId="28"/>
    <tableColumn id="3" xr3:uid="{D1451360-595F-4F61-9C38-D35102A00821}" name="Hosting Environment" dataDxfId="27"/>
    <tableColumn id="4" xr3:uid="{7F32FB83-69BF-4CD0-82EC-5920433649D4}" name="Tech Tower" dataDxfId="26"/>
    <tableColumn id="5" xr3:uid="{F6F387E3-D7D0-4EB5-B785-C169CC325097}" name="Technology" dataDxfId="25"/>
    <tableColumn id="6" xr3:uid="{EA5B39F9-0DAA-4927-A59D-36C82590B712}" name="Activities Category" dataDxfId="24"/>
    <tableColumn id="7" xr3:uid="{D8F9651F-5AD4-4A8D-B34F-D669A77FC634}" name="Project related Services" dataDxfId="23"/>
    <tableColumn id="8" xr3:uid="{A4F224EE-2106-44E5-AA55-9FF83DCBD480}" name="Activity Break-up Details" dataDxfId="22"/>
    <tableColumn id="9" xr3:uid="{359C68DA-A253-4C02-A736-1091DC19B6E2}" name="Standard Request  in SNOW" dataDxfId="21"/>
    <tableColumn id="10" xr3:uid="{AD5C01D3-E44B-44E4-8D34-FECE9EE5778A}" name="Standard Request link in SNOW" dataDxfId="20"/>
    <tableColumn id="11" xr3:uid="{A5CBDF8D-6BD9-48EB-BC1C-77D4051BB2D3}" name="Change Model Reference ID in SNOW" dataDxfId="19"/>
    <tableColumn id="12" xr3:uid="{B8B3C807-9F2F-42D2-856F-25E552897CBB}" name="Billing unit" dataDxfId="18"/>
    <tableColumn id="13" xr3:uid="{491072AB-BE22-44A2-859F-558A1E21FDA2}" name="UNIQUE PRICE per hour" dataDxfId="17"/>
    <tableColumn id="14" xr3:uid="{783010C6-120D-4B12-AA5F-796523FCFA73}" name="PMS Effort (Hours)" dataDxfId="16"/>
    <tableColumn id="15" xr3:uid="{6F3AC50C-93B9-493F-AFED-E11B7A3BAFCF}" name="PMS Price with Unique price " dataDxfId="15">
      <calculatedColumnFormula>IF(ISNUMBER(SEARCH("IMS",PMS_Catalog[[#This Row],[WU Id]])),"IMS",PMS_Catalog[[#This Row],[UNIQUE PRICE per hour]]*PMS_Catalog[[#This Row],[PMS Effort (Hours)]])</calculatedColumnFormula>
    </tableColumn>
    <tableColumn id="16" xr3:uid="{3FA2F546-6064-4D68-88BF-189AD53B8D18}" name=" Std Delivery Leadtime (Days)" dataDxfId="14"/>
    <tableColumn id="17" xr3:uid="{D87BAE89-9BDD-41C9-9323-E6CB148F1548}" name="SANOFI Service owner - Service Expert - Service Manager" dataDxfId="13"/>
    <tableColumn id="18" xr3:uid="{D469667B-AF01-4328-9C69-F779F4551876}" name="PMS WU //° rate (%)" dataDxfId="12"/>
    <tableColumn id="19" xr3:uid="{68AB527C-947D-48F0-B2CB-DBF66AC076EC}" name="Comments" dataDxfId="11"/>
    <tableColumn id="20" xr3:uid="{7E5BAB4B-6360-4CD6-B57B-8AEECFB09FD4}" name="Cab validation date " dataDxfId="10"/>
    <tableColumn id="21" xr3:uid="{EFC1AE8E-EFE1-4CD7-BCD7-00267815F184}" name="Service Catalog  VERSION" dataDxfId="9"/>
    <tableColumn id="22" xr3:uid="{05B9F819-F9C8-4CC9-AFA1-BF327D66A7B0}" name="Productivity reference date " dataDxfId="8"/>
    <tableColumn id="23" xr3:uid="{58C8C8C2-0AC4-4031-9282-E7F459339628}" name="Year apply " dataDxfId="7">
      <calculatedColumnFormula>DATEDIF(V2, TODAY(), "Y")</calculatedColumnFormula>
    </tableColumn>
    <tableColumn id="24" xr3:uid="{E750F177-2254-4420-99C3-019432563DA3}" name="%Apply " dataDxfId="6">
      <calculatedColumnFormula array="1">_xlfn.IFS('IMS - PMS - WU Catalog'!W72=1,8%,'IMS - PMS - WU Catalog'!W72=2,10%,'IMS - PMS - WU Catalog'!W72&gt;2,10%,'IMS - PMS - WU Catalog'!W72&lt;1,0)</calculatedColumnFormula>
    </tableColumn>
    <tableColumn id="25" xr3:uid="{8EB45250-F72E-420A-B1D2-D61AB4A48B80}" name="Final Price (with Productivity)" dataDxfId="5">
      <calculatedColumnFormula>IF(ISNUMBER(SEARCH("IMS",A2)),"IMS",O2-O2*X2)</calculatedColumnFormula>
    </tableColumn>
    <tableColumn id="26" xr3:uid="{38FAD9BA-52AA-4BEF-8722-39B3C741EAC1}" name="WRITE HERE THE NUMBER that you need for : JOBS for PMS_WU_7003 and 7002 OR  for WU PMS_WU_2017 and 2020 and 2241 and 2242" dataDxfId="4"/>
    <tableColumn id="27" xr3:uid="{014D9C54-2BEE-44A2-AA23-CA0C4A048D3A}" name="IMS/PMS" dataDxfId="3">
      <calculatedColumnFormula>LEFT(PMS_Catalog[[#This Row],[WU Id]],3)</calculatedColumnFormula>
    </tableColumn>
    <tableColumn id="28" xr3:uid="{BB992D0D-E4A8-479E-B73C-EB5C7129F2E5}" name="Date of Deletion"/>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202" dT="2022-05-30T15:57:26.41" personId="{905C7200-015E-4691-B438-C8757C0D31C2}" id="{89A9F284-0B3F-41F4-AE5C-0FE52B579C55}">
    <text>Parts of Up2Date process</text>
  </threadedComment>
  <threadedComment ref="K234" dT="2022-05-30T15:57:05.76" personId="{905C7200-015E-4691-B438-C8757C0D31C2}" id="{29E94597-E02D-4BD0-B239-DD72A52A46FE}">
    <text>Schedule manually based on the information from the non-project request</text>
  </threadedComment>
  <threadedComment ref="K238" dT="2022-05-30T15:57:26.41" personId="{905C7200-015E-4691-B438-C8757C0D31C2}" id="{D99C9038-6070-4AD4-93FD-580BC4F9C207}">
    <text>Parts of Up2Date process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3" Type="http://schemas.openxmlformats.org/officeDocument/2006/relationships/hyperlink" Target="https://sanofiservices.service-now.com/onesupport?id=sc_cat_item&amp;table=sc_cat_item&amp;sys_id=75205b064fa9cf40cb48c0428110c778" TargetMode="External"/><Relationship Id="rId18" Type="http://schemas.openxmlformats.org/officeDocument/2006/relationships/hyperlink" Target="https://sanofiservices.service-now.com/onesupport?id=sc_cat_item&amp;table=sc_cat_item&amp;sys_id=3399b696db39070005ea766eaf9619a8" TargetMode="External"/><Relationship Id="rId26" Type="http://schemas.openxmlformats.org/officeDocument/2006/relationships/hyperlink" Target="https://sanofiservices.service-now.com/onesupport?id=sc_cat_item_guide&amp;table=sc_cat_item&amp;sys_id=f4dc65b0dbf1b7c8bb471923059619ed" TargetMode="External"/><Relationship Id="rId39" Type="http://schemas.openxmlformats.org/officeDocument/2006/relationships/hyperlink" Target="../../../../../../../../../:x:/r/sites/bp_aims-communication-portal/_layouts/15/Doc.aspx?sourcedoc=%7b6B336B16-FB85-4AAE-8F1D-2F8CCF1A6AAD%7d&amp;file=AIMS_Contacts.xlsx&amp;action=default&amp;mobileredirect=true" TargetMode="External"/><Relationship Id="rId21" Type="http://schemas.openxmlformats.org/officeDocument/2006/relationships/hyperlink" Target="https://sanofiservices.service-now.com/onesupport?id=sc_cat_item_guide&amp;table=sc_cat_item&amp;sys_id=ec57c51b1bd3fb8017d3fddacd4bcb9b" TargetMode="External"/><Relationship Id="rId34" Type="http://schemas.openxmlformats.org/officeDocument/2006/relationships/hyperlink" Target="https://sanofiservices.service-now.com/onesupport?id=sc_cat_item_guide&amp;table=sc_cat_item&amp;sys_id=f7d5d381dbc9430405ea766eaf9619f7" TargetMode="External"/><Relationship Id="rId42" Type="http://schemas.openxmlformats.org/officeDocument/2006/relationships/hyperlink" Target="../../../../../../../../../:x:/r/sites/bp_aims-communication-portal/_layouts/15/Doc.aspx?sourcedoc=%7b6B336B16-FB85-4AAE-8F1D-2F8CCF1A6AAD%7d&amp;file=AIMS_Contacts.xlsx&amp;action=default&amp;mobileredirect=true" TargetMode="External"/><Relationship Id="rId47" Type="http://schemas.openxmlformats.org/officeDocument/2006/relationships/hyperlink" Target="../../../../../../../../../:x:/r/sites/bp_aims-communication-portal/_layouts/15/Doc.aspx?sourcedoc=%7b6B336B16-FB85-4AAE-8F1D-2F8CCF1A6AAD%7d&amp;file=AIMS_Contacts.xlsx&amp;action=default&amp;mobileredirect=true" TargetMode="External"/><Relationship Id="rId50" Type="http://schemas.openxmlformats.org/officeDocument/2006/relationships/hyperlink" Target="../../../../../../../../../:x:/r/sites/bp_aims-communication-portal/_layouts/15/Doc.aspx?sourcedoc=%7b6B336B16-FB85-4AAE-8F1D-2F8CCF1A6AAD%7d&amp;file=AIMS_Contacts.xlsx&amp;action=default&amp;mobileredirect=true" TargetMode="External"/><Relationship Id="rId55" Type="http://schemas.openxmlformats.org/officeDocument/2006/relationships/printerSettings" Target="../printerSettings/printerSettings3.bin"/><Relationship Id="rId7" Type="http://schemas.openxmlformats.org/officeDocument/2006/relationships/hyperlink" Target="https://sanofiservices.service-now.com/onesupport?id=sc_cat_item_guide&amp;table=sc_cat_item&amp;sys_id=6353706ddb28b810c0dcedc4059619d2" TargetMode="External"/><Relationship Id="rId2" Type="http://schemas.openxmlformats.org/officeDocument/2006/relationships/hyperlink" Target="https://sanofiservices.service-now.com/onesupport?id=sc_cat_item_guide&amp;table=sc_cat_item&amp;sys_id=8ef52e074f098fc4cb48c0428110c701" TargetMode="External"/><Relationship Id="rId16" Type="http://schemas.openxmlformats.org/officeDocument/2006/relationships/hyperlink" Target="https://sanofiservices.service-now.com/onesupport?id=sc_cat_item&amp;table=sc_cat_item&amp;sys_id=47ffae8a4f29cf40cb48c0428110c769" TargetMode="External"/><Relationship Id="rId29" Type="http://schemas.openxmlformats.org/officeDocument/2006/relationships/hyperlink" Target="../../../../../../../../../:x:/r/sites/bp_aims-communication-portal/_layouts/15/Doc.aspx?sourcedoc=%7b6B336B16-FB85-4AAE-8F1D-2F8CCF1A6AAD%7d&amp;file=AIMS_Contacts.xlsx&amp;action=default&amp;mobileredirect=true" TargetMode="External"/><Relationship Id="rId11" Type="http://schemas.openxmlformats.org/officeDocument/2006/relationships/hyperlink" Target="https://sanofiservices.service-now.com/onesupport?id=sc_cat_item&amp;table=sc_cat_item&amp;sys_id=75205b064fa9cf40cb48c0428110c778" TargetMode="External"/><Relationship Id="rId24" Type="http://schemas.openxmlformats.org/officeDocument/2006/relationships/hyperlink" Target="https://sanofiservices.service-now.com/onesupport?id=sc_cat_item&amp;table=sc_cat_item&amp;sys_id=a13007884fe0cb04cb48c0428110c751" TargetMode="External"/><Relationship Id="rId32" Type="http://schemas.openxmlformats.org/officeDocument/2006/relationships/hyperlink" Target="../../../../../../../../../:x:/r/sites/bp_aims-communication-portal/_layouts/15/Doc.aspx?sourcedoc=%7b6B336B16-FB85-4AAE-8F1D-2F8CCF1A6AAD%7d&amp;file=AIMS_Contacts.xlsx&amp;action=default&amp;mobileredirect=true" TargetMode="External"/><Relationship Id="rId37" Type="http://schemas.openxmlformats.org/officeDocument/2006/relationships/hyperlink" Target="https://sanofiservices.service-now.com/onesupport?id=sc_cat_item_guide&amp;table=sc_cat_item&amp;sys_id=f7d5d381dbc9430405ea766eaf9619f7" TargetMode="External"/><Relationship Id="rId40" Type="http://schemas.openxmlformats.org/officeDocument/2006/relationships/hyperlink" Target="../../../../../../../../../:x:/r/sites/bp_aims-communication-portal/_layouts/15/Doc.aspx?sourcedoc=%7b6B336B16-FB85-4AAE-8F1D-2F8CCF1A6AAD%7d&amp;file=AIMS_Contacts.xlsx&amp;action=default&amp;mobileredirect=true" TargetMode="External"/><Relationship Id="rId45" Type="http://schemas.openxmlformats.org/officeDocument/2006/relationships/hyperlink" Target="../../../../../../../../../:x:/r/sites/bp_aims-communication-portal/_layouts/15/Doc.aspx?sourcedoc=%7b6B336B16-FB85-4AAE-8F1D-2F8CCF1A6AAD%7d&amp;file=AIMS_Contacts.xlsx&amp;action=default&amp;mobileredirect=true" TargetMode="External"/><Relationship Id="rId53" Type="http://schemas.openxmlformats.org/officeDocument/2006/relationships/hyperlink" Target="https://sanofiservices.service-now.com/onesupport?id=sc_cat_item&amp;table=sc_cat_item&amp;sys_id=d2970fcadbe9878405ea766eaf96192e" TargetMode="External"/><Relationship Id="rId58" Type="http://schemas.openxmlformats.org/officeDocument/2006/relationships/comments" Target="../comments1.xml"/><Relationship Id="rId5" Type="http://schemas.openxmlformats.org/officeDocument/2006/relationships/hyperlink" Target="https://sanofiservices.service-now.com/onesupport?id=sc_cat_item_guide&amp;table=sc_cat_item&amp;sys_id=8ef52e074f098fc4cb48c0428110c701" TargetMode="External"/><Relationship Id="rId19" Type="http://schemas.openxmlformats.org/officeDocument/2006/relationships/hyperlink" Target="https://sanofiservices.service-now.com/onesupport?id=sc_cat_item&amp;table=sc_cat_item&amp;sys_id=d2970fcadbe9878405ea766eaf96192e" TargetMode="External"/><Relationship Id="rId4" Type="http://schemas.openxmlformats.org/officeDocument/2006/relationships/hyperlink" Target="https://sanofiservices.service-now.com/onesupport?id=sc_cat_item_guide&amp;table=sc_cat_item&amp;sys_id=6c7102ccdb8c2850c0dcedc40596190b" TargetMode="External"/><Relationship Id="rId9" Type="http://schemas.openxmlformats.org/officeDocument/2006/relationships/hyperlink" Target="https://sanofiservices.service-now.com/onesupport?id=sc_cat_item_guide&amp;table=sc_cat_item&amp;sys_id=ec57c51b1bd3fb8017d3fddacd4bcb9b" TargetMode="External"/><Relationship Id="rId14" Type="http://schemas.openxmlformats.org/officeDocument/2006/relationships/hyperlink" Target="https://sanofiservices.service-now.com/onesupport?id=sc_cat_item&amp;table=sc_cat_item&amp;sys_id=75205b064fa9cf40cb48c0428110c778" TargetMode="External"/><Relationship Id="rId22" Type="http://schemas.openxmlformats.org/officeDocument/2006/relationships/hyperlink" Target="https://sanofiservices.service-now.com/onesupport?id=sc_cat_item_guide&amp;table=sc_cat_item&amp;sys_id=ec57c51b1bd3fb8017d3fddacd4bcb9b" TargetMode="External"/><Relationship Id="rId27" Type="http://schemas.openxmlformats.org/officeDocument/2006/relationships/hyperlink" Target="../../../../../../../../../:x:/r/sites/bp_aims-communication-portal/_layouts/15/Doc.aspx?sourcedoc=%7b6B336B16-FB85-4AAE-8F1D-2F8CCF1A6AAD%7d&amp;file=AIMS_Contacts.xlsx&amp;action=default&amp;mobileredirect=true" TargetMode="External"/><Relationship Id="rId30" Type="http://schemas.openxmlformats.org/officeDocument/2006/relationships/hyperlink" Target="../../../../../../../../../:x:/r/sites/bp_aims-communication-portal/_layouts/15/Doc.aspx?sourcedoc=%7b6B336B16-FB85-4AAE-8F1D-2F8CCF1A6AAD%7d&amp;file=AIMS_Contacts.xlsx&amp;action=default&amp;mobileredirect=true" TargetMode="External"/><Relationship Id="rId35" Type="http://schemas.openxmlformats.org/officeDocument/2006/relationships/hyperlink" Target="https://sanofiservices.service-now.com/onesupport?id=sc_cat_item&amp;table=sc_cat_item&amp;sys_id=195eb7f21bc9a010d849206e3b4bcb1f" TargetMode="External"/><Relationship Id="rId43" Type="http://schemas.openxmlformats.org/officeDocument/2006/relationships/hyperlink" Target="../../../../../../../../../:x:/r/sites/bp_aims-communication-portal/_layouts/15/Doc.aspx?sourcedoc=%7b6B336B16-FB85-4AAE-8F1D-2F8CCF1A6AAD%7d&amp;file=AIMS_Contacts.xlsx&amp;action=default&amp;mobileredirect=true" TargetMode="External"/><Relationship Id="rId48" Type="http://schemas.openxmlformats.org/officeDocument/2006/relationships/hyperlink" Target="../../../../../../../../../:x:/r/sites/bp_aims-communication-portal/_layouts/15/Doc.aspx?sourcedoc=%7b6B336B16-FB85-4AAE-8F1D-2F8CCF1A6AAD%7d&amp;file=AIMS_Contacts.xlsx&amp;action=default&amp;mobileredirect=true" TargetMode="External"/><Relationship Id="rId56" Type="http://schemas.openxmlformats.org/officeDocument/2006/relationships/vmlDrawing" Target="../drawings/vmlDrawing1.vml"/><Relationship Id="rId8" Type="http://schemas.openxmlformats.org/officeDocument/2006/relationships/hyperlink" Target="https://sanofiservices.service-now.com/onesupport?id=sc_cat_item_guide&amp;table=sc_cat_item&amp;sys_id=ec57c51b1bd3fb8017d3fddacd4bcb9b" TargetMode="External"/><Relationship Id="rId51" Type="http://schemas.openxmlformats.org/officeDocument/2006/relationships/hyperlink" Target="../../../../../../../../../:x:/r/sites/bp_aims-communication-portal/_layouts/15/Doc.aspx?sourcedoc=%7b6B336B16-FB85-4AAE-8F1D-2F8CCF1A6AAD%7d&amp;file=AIMS_Contacts.xlsx&amp;action=default&amp;mobileredirect=true" TargetMode="External"/><Relationship Id="rId3" Type="http://schemas.openxmlformats.org/officeDocument/2006/relationships/hyperlink" Target="https://sanofiservices.service-now.com/onesupport?id=sc_cat_item&amp;table=sc_cat_item&amp;sys_id=66649e6bdb55430005ea766eaf96199c" TargetMode="External"/><Relationship Id="rId12" Type="http://schemas.openxmlformats.org/officeDocument/2006/relationships/hyperlink" Target="https://sanofiservices.service-now.com/onesupport?id=sc_cat_item&amp;table=sc_cat_item&amp;sys_id=75205b064fa9cf40cb48c0428110c778" TargetMode="External"/><Relationship Id="rId17" Type="http://schemas.openxmlformats.org/officeDocument/2006/relationships/hyperlink" Target="https://sanofiservices.service-now.com/onesupport?id=sc_cat_item_guide&amp;table=sc_cat_item&amp;sys_id=d6086578dba52894cff7043bd3961985" TargetMode="External"/><Relationship Id="rId25" Type="http://schemas.openxmlformats.org/officeDocument/2006/relationships/hyperlink" Target="https://sanofiservices.service-now.com/onesupport?id=sc_cat_item_guide&amp;table=sc_cat_item&amp;sys_id=f4dc65b0dbf1b7c8bb471923059619ed" TargetMode="External"/><Relationship Id="rId33" Type="http://schemas.openxmlformats.org/officeDocument/2006/relationships/hyperlink" Target="https://sanofiservices.service-now.com/onesupport?id=sc_cat_item&amp;table=sc_cat_item&amp;sys_id=f72e27f84f708f00cb48c0428110c70e" TargetMode="External"/><Relationship Id="rId38" Type="http://schemas.openxmlformats.org/officeDocument/2006/relationships/hyperlink" Target="https://sanofiservices.service-now.com/onesupport?id=sc_cat_item&amp;table=sc_cat_item&amp;sys_id=dc46595edb9dc70005ea766eaf9619f5" TargetMode="External"/><Relationship Id="rId46" Type="http://schemas.openxmlformats.org/officeDocument/2006/relationships/hyperlink" Target="../../../../../../../../../:x:/r/sites/bp_aims-communication-portal/_layouts/15/Doc.aspx?sourcedoc=%7b6B336B16-FB85-4AAE-8F1D-2F8CCF1A6AAD%7d&amp;file=AIMS_Contacts.xlsx&amp;action=default&amp;mobileredirect=true" TargetMode="External"/><Relationship Id="rId59" Type="http://schemas.microsoft.com/office/2017/10/relationships/threadedComment" Target="../threadedComments/threadedComment1.xml"/><Relationship Id="rId20" Type="http://schemas.openxmlformats.org/officeDocument/2006/relationships/hyperlink" Target="https://sanofiservices.service-now.com/onesupport?id=sc_cat_item_guide&amp;table=sc_cat_item&amp;sys_id=ec57c51b1bd3fb8017d3fddacd4bcb9b" TargetMode="External"/><Relationship Id="rId41" Type="http://schemas.openxmlformats.org/officeDocument/2006/relationships/hyperlink" Target="../../../../../../../../../:x:/r/sites/bp_aims-communication-portal/_layouts/15/Doc.aspx?sourcedoc=%7b6B336B16-FB85-4AAE-8F1D-2F8CCF1A6AAD%7d&amp;file=AIMS_Contacts.xlsx&amp;action=default&amp;mobileredirect=true" TargetMode="External"/><Relationship Id="rId54" Type="http://schemas.openxmlformats.org/officeDocument/2006/relationships/hyperlink" Target="https://sanofiservices.service-now.com/onesupport?id=sc_cat_item_guide&amp;table=sc_cat_item&amp;sys_id=f4d1048c1b40805817d3fddacd4bcba7" TargetMode="External"/><Relationship Id="rId1" Type="http://schemas.openxmlformats.org/officeDocument/2006/relationships/hyperlink" Target="https://sanofiservices.service-now.com/onesupport?id=sc_cat_item_guide&amp;table=sc_cat_item&amp;sys_id=f682ea9a1b4c9914d849206e3b4bcb84" TargetMode="External"/><Relationship Id="rId6" Type="http://schemas.openxmlformats.org/officeDocument/2006/relationships/hyperlink" Target="https://sanofiservices.service-now.com/onesupport?id=sc_cat_item_guide&amp;table=sc_cat_item&amp;sys_id=d2802610db198f8805ea766eaf961961" TargetMode="External"/><Relationship Id="rId15" Type="http://schemas.openxmlformats.org/officeDocument/2006/relationships/hyperlink" Target="https://sanofiservices.service-now.com/onesupport?id=sc_cat_item_guide&amp;table=sc_cat_item&amp;sys_id=8ef52e074f098fc4cb48c0428110c701" TargetMode="External"/><Relationship Id="rId23" Type="http://schemas.openxmlformats.org/officeDocument/2006/relationships/hyperlink" Target="https://sanofiservices.service-now.com/onesupport?id=sc_cat_item_guide&amp;table=sc_cat_item&amp;sys_id=ec57c51b1bd3fb8017d3fddacd4bcb9b" TargetMode="External"/><Relationship Id="rId28" Type="http://schemas.openxmlformats.org/officeDocument/2006/relationships/hyperlink" Target="../../../../../../../../../:x:/r/sites/bp_aims-communication-portal/_layouts/15/Doc.aspx?sourcedoc=%7b6B336B16-FB85-4AAE-8F1D-2F8CCF1A6AAD%7d&amp;file=AIMS_Contacts.xlsx&amp;action=default&amp;mobileredirect=true" TargetMode="External"/><Relationship Id="rId36" Type="http://schemas.openxmlformats.org/officeDocument/2006/relationships/hyperlink" Target="https://sanofiservices.service-now.com/onesupport?id=sc_cat_item&amp;table=sc_cat_item&amp;sys_id=3dd42702dbfa57400a8ffd471d9619a7" TargetMode="External"/><Relationship Id="rId49" Type="http://schemas.openxmlformats.org/officeDocument/2006/relationships/hyperlink" Target="../../../../../../../../../:x:/r/sites/bp_aims-communication-portal/_layouts/15/Doc.aspx?sourcedoc=%7b6B336B16-FB85-4AAE-8F1D-2F8CCF1A6AAD%7d&amp;file=AIMS_Contacts.xlsx&amp;action=default&amp;mobileredirect=true" TargetMode="External"/><Relationship Id="rId57" Type="http://schemas.openxmlformats.org/officeDocument/2006/relationships/table" Target="../tables/table1.xml"/><Relationship Id="rId10" Type="http://schemas.openxmlformats.org/officeDocument/2006/relationships/hyperlink" Target="https://sanofiservices.service-now.com/onesupport?id=sc_cat_item&amp;table=sc_cat_item&amp;sys_id=6fa5cb161baaf7c417d3fddacd4bcb4b" TargetMode="External"/><Relationship Id="rId31" Type="http://schemas.openxmlformats.org/officeDocument/2006/relationships/hyperlink" Target="../../../../../../../../../:x:/r/sites/bp_aims-communication-portal/_layouts/15/Doc.aspx?sourcedoc=%7b6B336B16-FB85-4AAE-8F1D-2F8CCF1A6AAD%7d&amp;file=AIMS_Contacts.xlsx&amp;action=default&amp;mobileredirect=true" TargetMode="External"/><Relationship Id="rId44" Type="http://schemas.openxmlformats.org/officeDocument/2006/relationships/hyperlink" Target="../../../../../../../../../:x:/r/sites/bp_aims-communication-portal/_layouts/15/Doc.aspx?sourcedoc=%7b6B336B16-FB85-4AAE-8F1D-2F8CCF1A6AAD%7d&amp;file=AIMS_Contacts.xlsx&amp;action=default&amp;mobileredirect=true" TargetMode="External"/><Relationship Id="rId52" Type="http://schemas.openxmlformats.org/officeDocument/2006/relationships/hyperlink" Target="https://sanofiservices.service-now.com/onesupport?id=sc_cat_item_guide&amp;table=sc_cat_item&amp;sys_id=f4d1048c1b40805817d3fddacd4bcba7"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x:/r/sites/bp_aims-communication-portal/_layouts/15/Doc.aspx?sourcedoc=%7b6B336B16-FB85-4AAE-8F1D-2F8CCF1A6AAD%7d&amp;file=AIMS_Contacts.xlsx&amp;action=default&amp;mobileredirect=true" TargetMode="External"/><Relationship Id="rId1" Type="http://schemas.openxmlformats.org/officeDocument/2006/relationships/hyperlink" Target="../../../../../../../../../:x:/r/sites/bp_aims-communication-portal/_layouts/15/Doc.aspx?sourcedoc=%7b6B336B16-FB85-4AAE-8F1D-2F8CCF1A6AAD%7d&amp;file=AIMS_Contacts.xlsx&amp;action=default&amp;mobileredirect=true" TargetMode="Externa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4B605-61E1-4B12-8779-D0EE286E8864}">
  <sheetPr>
    <tabColor theme="7" tint="0.59999389629810485"/>
  </sheetPr>
  <dimension ref="A1:C83"/>
  <sheetViews>
    <sheetView topLeftCell="A62" zoomScale="70" zoomScaleNormal="70" workbookViewId="0">
      <selection activeCell="A71" sqref="A71"/>
    </sheetView>
  </sheetViews>
  <sheetFormatPr defaultColWidth="11.42578125" defaultRowHeight="15"/>
  <cols>
    <col min="1" max="1" width="36.42578125" customWidth="1"/>
    <col min="2" max="2" width="129.5703125" bestFit="1" customWidth="1"/>
  </cols>
  <sheetData>
    <row r="1" spans="1:3" ht="21">
      <c r="A1" s="77" t="s">
        <v>0</v>
      </c>
      <c r="B1" s="77"/>
    </row>
    <row r="2" spans="1:3" ht="21">
      <c r="A2" s="16"/>
      <c r="B2" s="16"/>
    </row>
    <row r="3" spans="1:3" ht="21">
      <c r="A3" s="16"/>
      <c r="B3" s="16"/>
    </row>
    <row r="4" spans="1:3" ht="20.25" thickBot="1">
      <c r="A4" s="78" t="s">
        <v>1</v>
      </c>
      <c r="B4" s="78"/>
      <c r="C4" s="78"/>
    </row>
    <row r="5" spans="1:3" ht="15.75" thickTop="1">
      <c r="A5" s="5"/>
      <c r="B5" s="5"/>
    </row>
    <row r="6" spans="1:3">
      <c r="A6" s="5" t="s">
        <v>2</v>
      </c>
      <c r="B6" s="5" t="s">
        <v>3</v>
      </c>
    </row>
    <row r="7" spans="1:3">
      <c r="A7" s="5"/>
      <c r="B7" s="5"/>
    </row>
    <row r="8" spans="1:3">
      <c r="A8" s="5" t="s">
        <v>4</v>
      </c>
    </row>
    <row r="9" spans="1:3">
      <c r="A9" s="8" t="s">
        <v>5</v>
      </c>
      <c r="B9" s="6" t="s">
        <v>6</v>
      </c>
    </row>
    <row r="10" spans="1:3">
      <c r="A10" s="8" t="s">
        <v>7</v>
      </c>
      <c r="B10" s="6" t="s">
        <v>8</v>
      </c>
    </row>
    <row r="11" spans="1:3">
      <c r="A11" s="9" t="s">
        <v>9</v>
      </c>
    </row>
    <row r="12" spans="1:3">
      <c r="A12" s="8" t="s">
        <v>10</v>
      </c>
      <c r="B12" s="6" t="s">
        <v>11</v>
      </c>
    </row>
    <row r="13" spans="1:3">
      <c r="A13" s="9" t="s">
        <v>12</v>
      </c>
    </row>
    <row r="14" spans="1:3">
      <c r="A14" s="10" t="s">
        <v>13</v>
      </c>
      <c r="B14" s="6" t="s">
        <v>14</v>
      </c>
    </row>
    <row r="15" spans="1:3">
      <c r="A15" s="10" t="s">
        <v>15</v>
      </c>
      <c r="B15" s="7" t="s">
        <v>16</v>
      </c>
    </row>
    <row r="17" spans="1:3" ht="20.25" thickBot="1">
      <c r="A17" s="78" t="s">
        <v>17</v>
      </c>
      <c r="B17" s="78"/>
      <c r="C17" s="78"/>
    </row>
    <row r="18" spans="1:3" ht="15.75" thickTop="1"/>
    <row r="19" spans="1:3">
      <c r="A19" s="5" t="s">
        <v>18</v>
      </c>
      <c r="B19" s="15"/>
    </row>
    <row r="20" spans="1:3">
      <c r="A20" s="8" t="s">
        <v>19</v>
      </c>
      <c r="B20" s="6" t="s">
        <v>20</v>
      </c>
    </row>
    <row r="21" spans="1:3">
      <c r="A21" s="8" t="s">
        <v>21</v>
      </c>
      <c r="B21" s="6" t="s">
        <v>22</v>
      </c>
    </row>
    <row r="23" spans="1:3" ht="20.25" thickBot="1">
      <c r="A23" s="78" t="s">
        <v>23</v>
      </c>
      <c r="B23" s="78"/>
      <c r="C23" s="78"/>
    </row>
    <row r="24" spans="1:3" ht="15.75" thickTop="1"/>
    <row r="25" spans="1:3">
      <c r="A25" s="5" t="s">
        <v>18</v>
      </c>
      <c r="B25" s="15"/>
    </row>
    <row r="26" spans="1:3">
      <c r="A26" s="8" t="s">
        <v>24</v>
      </c>
      <c r="B26" s="6" t="s">
        <v>25</v>
      </c>
    </row>
    <row r="27" spans="1:3">
      <c r="A27" s="8"/>
      <c r="B27" s="6"/>
    </row>
    <row r="28" spans="1:3" ht="20.25" thickBot="1">
      <c r="A28" s="78" t="s">
        <v>26</v>
      </c>
      <c r="B28" s="78"/>
      <c r="C28" s="78"/>
    </row>
    <row r="29" spans="1:3" ht="15.75" thickTop="1"/>
    <row r="30" spans="1:3">
      <c r="A30" s="5" t="s">
        <v>18</v>
      </c>
      <c r="B30" s="15"/>
    </row>
    <row r="31" spans="1:3">
      <c r="A31" s="8" t="s">
        <v>27</v>
      </c>
      <c r="B31" s="6" t="s">
        <v>28</v>
      </c>
    </row>
    <row r="33" spans="1:3" ht="20.25" thickBot="1">
      <c r="A33" s="78" t="s">
        <v>29</v>
      </c>
      <c r="B33" s="78"/>
      <c r="C33" s="78"/>
    </row>
    <row r="34" spans="1:3" ht="15.75" thickTop="1"/>
    <row r="35" spans="1:3">
      <c r="A35" s="5" t="s">
        <v>18</v>
      </c>
      <c r="B35" s="15"/>
    </row>
    <row r="36" spans="1:3">
      <c r="A36" s="8" t="s">
        <v>30</v>
      </c>
      <c r="B36" s="6" t="s">
        <v>31</v>
      </c>
    </row>
    <row r="38" spans="1:3" ht="20.25" thickBot="1">
      <c r="A38" s="78" t="s">
        <v>32</v>
      </c>
      <c r="B38" s="78"/>
      <c r="C38" s="78"/>
    </row>
    <row r="40" spans="1:3">
      <c r="A40" s="5" t="s">
        <v>18</v>
      </c>
      <c r="B40" s="15"/>
    </row>
    <row r="41" spans="1:3">
      <c r="A41" s="8" t="s">
        <v>33</v>
      </c>
      <c r="B41" s="6" t="s">
        <v>34</v>
      </c>
    </row>
    <row r="43" spans="1:3" ht="20.25" thickBot="1">
      <c r="A43" s="78" t="s">
        <v>35</v>
      </c>
      <c r="B43" s="78"/>
      <c r="C43" s="78"/>
    </row>
    <row r="44" spans="1:3" ht="15.75" thickTop="1"/>
    <row r="45" spans="1:3">
      <c r="A45" s="5" t="s">
        <v>18</v>
      </c>
      <c r="B45" s="15"/>
    </row>
    <row r="46" spans="1:3">
      <c r="A46" s="8" t="s">
        <v>36</v>
      </c>
      <c r="B46" s="6" t="s">
        <v>37</v>
      </c>
    </row>
    <row r="48" spans="1:3" ht="20.25" thickBot="1">
      <c r="A48" s="78" t="s">
        <v>38</v>
      </c>
      <c r="B48" s="78"/>
      <c r="C48" s="78"/>
    </row>
    <row r="49" spans="1:3" ht="15.75" thickTop="1"/>
    <row r="50" spans="1:3" ht="20.25" thickBot="1">
      <c r="A50" s="78" t="s">
        <v>39</v>
      </c>
      <c r="B50" s="78"/>
    </row>
    <row r="51" spans="1:3" ht="21" thickTop="1" thickBot="1">
      <c r="A51" s="38"/>
      <c r="B51" s="38"/>
    </row>
    <row r="52" spans="1:3" ht="21" thickTop="1" thickBot="1">
      <c r="A52" s="78" t="s">
        <v>40</v>
      </c>
      <c r="B52" s="78"/>
      <c r="C52" s="78"/>
    </row>
    <row r="53" spans="1:3" ht="15.75" thickTop="1">
      <c r="A53" s="8"/>
      <c r="B53" s="6"/>
    </row>
    <row r="54" spans="1:3" ht="20.25" thickBot="1">
      <c r="A54" s="78" t="s">
        <v>41</v>
      </c>
      <c r="B54" s="78"/>
      <c r="C54" s="78"/>
    </row>
    <row r="55" spans="1:3" ht="15.75" thickTop="1"/>
    <row r="56" spans="1:3" ht="20.25" thickBot="1">
      <c r="A56" s="78" t="s">
        <v>42</v>
      </c>
      <c r="B56" s="78"/>
      <c r="C56" s="78"/>
    </row>
    <row r="57" spans="1:3" ht="21" thickTop="1" thickBot="1">
      <c r="A57" s="38"/>
      <c r="B57" s="38"/>
      <c r="C57" s="38"/>
    </row>
    <row r="58" spans="1:3" ht="21" thickTop="1" thickBot="1">
      <c r="A58" s="78" t="s">
        <v>43</v>
      </c>
      <c r="B58" s="78"/>
      <c r="C58" s="38"/>
    </row>
    <row r="59" spans="1:3" ht="15.75" thickTop="1"/>
    <row r="60" spans="1:3" ht="20.25" thickBot="1">
      <c r="A60" s="78" t="s">
        <v>44</v>
      </c>
      <c r="B60" s="78"/>
      <c r="C60" s="78"/>
    </row>
    <row r="61" spans="1:3" ht="15.75" thickTop="1"/>
    <row r="62" spans="1:3" ht="19.5">
      <c r="A62" s="78" t="s">
        <v>45</v>
      </c>
      <c r="B62" s="78"/>
      <c r="C62" s="78"/>
    </row>
    <row r="63" spans="1:3" ht="15.75" thickTop="1"/>
    <row r="64" spans="1:3" ht="19.5">
      <c r="A64" s="78" t="s">
        <v>46</v>
      </c>
      <c r="B64" s="78"/>
      <c r="C64" s="78"/>
    </row>
    <row r="65" spans="1:3" ht="15.75" thickTop="1"/>
    <row r="66" spans="1:3" ht="20.25" thickBot="1">
      <c r="A66" s="78" t="s">
        <v>47</v>
      </c>
      <c r="B66" s="78"/>
      <c r="C66" s="78"/>
    </row>
    <row r="67" spans="1:3" ht="15.75" thickTop="1"/>
    <row r="68" spans="1:3" ht="20.25" thickBot="1">
      <c r="A68" s="78" t="s">
        <v>48</v>
      </c>
      <c r="B68" s="78"/>
      <c r="C68" s="78"/>
    </row>
    <row r="69" spans="1:3" ht="15.75" thickTop="1"/>
    <row r="70" spans="1:3">
      <c r="A70" s="5" t="s">
        <v>18</v>
      </c>
      <c r="B70" s="15"/>
    </row>
    <row r="71" spans="1:3">
      <c r="A71" s="8" t="s">
        <v>49</v>
      </c>
      <c r="B71" s="6" t="s">
        <v>50</v>
      </c>
    </row>
    <row r="72" spans="1:3" ht="20.25" thickBot="1">
      <c r="A72" s="78" t="s">
        <v>51</v>
      </c>
      <c r="B72" s="78"/>
      <c r="C72" s="78"/>
    </row>
    <row r="73" spans="1:3" ht="15.75" thickTop="1"/>
    <row r="74" spans="1:3" ht="20.25" thickBot="1">
      <c r="A74" s="78" t="s">
        <v>52</v>
      </c>
      <c r="B74" s="78"/>
      <c r="C74" s="78"/>
    </row>
    <row r="75" spans="1:3" ht="15.75" thickTop="1"/>
    <row r="76" spans="1:3" ht="20.25" thickBot="1">
      <c r="A76" s="78" t="s">
        <v>53</v>
      </c>
      <c r="B76" s="78"/>
      <c r="C76" s="78"/>
    </row>
    <row r="77" spans="1:3" ht="15.75" thickTop="1">
      <c r="B77" s="6" t="s">
        <v>54</v>
      </c>
    </row>
    <row r="78" spans="1:3" ht="20.25" thickBot="1">
      <c r="A78" s="78" t="s">
        <v>55</v>
      </c>
      <c r="B78" s="78"/>
    </row>
    <row r="79" spans="1:3" ht="21" thickTop="1" thickBot="1">
      <c r="A79" s="78"/>
      <c r="B79" s="78"/>
    </row>
    <row r="80" spans="1:3" ht="21" thickTop="1" thickBot="1">
      <c r="A80" s="78" t="s">
        <v>56</v>
      </c>
      <c r="B80" s="78"/>
    </row>
    <row r="81" spans="1:2" ht="15.75" thickTop="1">
      <c r="B81" s="6" t="s">
        <v>54</v>
      </c>
    </row>
    <row r="82" spans="1:2" ht="20.25" thickBot="1">
      <c r="A82" s="78" t="s">
        <v>57</v>
      </c>
      <c r="B82" s="78"/>
    </row>
    <row r="83" spans="1:2" ht="15.75" thickTop="1"/>
  </sheetData>
  <mergeCells count="26">
    <mergeCell ref="A50:B50"/>
    <mergeCell ref="A74:C74"/>
    <mergeCell ref="A76:C76"/>
    <mergeCell ref="A78:B78"/>
    <mergeCell ref="A79:B79"/>
    <mergeCell ref="A58:B58"/>
    <mergeCell ref="A52:C52"/>
    <mergeCell ref="A54:C54"/>
    <mergeCell ref="A56:C56"/>
    <mergeCell ref="A80:B80"/>
    <mergeCell ref="A82:B82"/>
    <mergeCell ref="A68:C68"/>
    <mergeCell ref="A72:C72"/>
    <mergeCell ref="A60:C60"/>
    <mergeCell ref="A62:C62"/>
    <mergeCell ref="A64:C64"/>
    <mergeCell ref="A66:C66"/>
    <mergeCell ref="A1:B1"/>
    <mergeCell ref="A48:C48"/>
    <mergeCell ref="A28:C28"/>
    <mergeCell ref="A33:C33"/>
    <mergeCell ref="A38:C38"/>
    <mergeCell ref="A43:C43"/>
    <mergeCell ref="A4:C4"/>
    <mergeCell ref="A17:C17"/>
    <mergeCell ref="A23:C23"/>
  </mergeCells>
  <pageMargins left="0.7" right="0.7" top="0.75" bottom="0.75" header="0.3" footer="0.3"/>
  <pageSetup paperSize="9" orientation="portrait" r:id="rId1"/>
  <headerFooter>
    <oddHeader>&amp;C&amp;"Calibri"&amp;10&amp;K4A569E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52F24-1524-4F86-9713-71FAD7101040}">
  <dimension ref="A1:C6"/>
  <sheetViews>
    <sheetView topLeftCell="A6" zoomScale="80" zoomScaleNormal="80" workbookViewId="0">
      <selection activeCell="A32" sqref="A32"/>
    </sheetView>
  </sheetViews>
  <sheetFormatPr defaultColWidth="11.42578125" defaultRowHeight="15"/>
  <cols>
    <col min="1" max="1" width="27.42578125" style="18" customWidth="1"/>
    <col min="2" max="2" width="71.42578125" customWidth="1"/>
    <col min="3" max="3" width="118.5703125" customWidth="1"/>
  </cols>
  <sheetData>
    <row r="1" spans="1:3" ht="21">
      <c r="A1" s="79"/>
      <c r="B1" s="79"/>
    </row>
    <row r="3" spans="1:3" s="20" customFormat="1">
      <c r="A3" s="19"/>
    </row>
    <row r="4" spans="1:3">
      <c r="B4" s="17"/>
      <c r="C4" s="3"/>
    </row>
    <row r="5" spans="1:3">
      <c r="B5" s="17"/>
      <c r="C5" s="3"/>
    </row>
    <row r="6" spans="1:3">
      <c r="B6" s="3"/>
    </row>
  </sheetData>
  <mergeCells count="1">
    <mergeCell ref="A1:B1"/>
  </mergeCells>
  <pageMargins left="0.7" right="0.7" top="0.75" bottom="0.75" header="0.3" footer="0.3"/>
  <pageSetup paperSize="9" orientation="portrait" r:id="rId1"/>
  <headerFooter>
    <oddHeader>&amp;C&amp;"Calibri"&amp;10&amp;K4A569E Internal&amp;1#_x000D_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0EE41-327A-49A4-9881-F21B2DE399D9}">
  <dimension ref="A1"/>
  <sheetViews>
    <sheetView workbookViewId="0">
      <selection activeCell="B1" sqref="B1"/>
    </sheetView>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theme="9"/>
  </sheetPr>
  <dimension ref="A1:XED447"/>
  <sheetViews>
    <sheetView tabSelected="1" zoomScaleNormal="100" workbookViewId="0">
      <pane ySplit="1" topLeftCell="A2" activePane="bottomLeft" state="frozenSplit"/>
      <selection pane="bottomLeft"/>
    </sheetView>
  </sheetViews>
  <sheetFormatPr defaultColWidth="11.42578125" defaultRowHeight="39" customHeight="1"/>
  <cols>
    <col min="1" max="1" width="12.5703125" style="46" customWidth="1"/>
    <col min="2" max="2" width="13.28515625" style="46" customWidth="1"/>
    <col min="3" max="3" width="20.42578125" style="46" customWidth="1"/>
    <col min="4" max="4" width="19.7109375" style="46" customWidth="1"/>
    <col min="5" max="5" width="21" style="46" customWidth="1"/>
    <col min="6" max="6" width="13.42578125" style="46" customWidth="1"/>
    <col min="7" max="8" width="60.5703125" style="50" customWidth="1"/>
    <col min="9" max="9" width="12.5703125" style="47" customWidth="1"/>
    <col min="10" max="10" width="19.42578125" style="47" customWidth="1"/>
    <col min="11" max="11" width="18.42578125" style="46" customWidth="1"/>
    <col min="12" max="12" width="48.7109375" style="47" customWidth="1"/>
    <col min="13" max="13" width="15.5703125" style="48" customWidth="1"/>
    <col min="14" max="14" width="8.5703125" style="49" customWidth="1"/>
    <col min="15" max="15" width="23.85546875" style="49" customWidth="1"/>
    <col min="16" max="16" width="30.42578125" style="49" customWidth="1"/>
    <col min="17" max="17" width="26.42578125" style="47" customWidth="1"/>
    <col min="18" max="18" width="11.5703125" style="46" customWidth="1"/>
    <col min="19" max="19" width="53.85546875" style="47" customWidth="1"/>
    <col min="20" max="20" width="11.42578125" style="46" customWidth="1"/>
    <col min="21" max="21" width="12.5703125" style="46" customWidth="1"/>
    <col min="22" max="22" width="10.42578125" style="46" customWidth="1"/>
    <col min="23" max="23" width="7.5703125" style="46" customWidth="1"/>
    <col min="24" max="24" width="6.5703125" style="46" customWidth="1"/>
    <col min="25" max="25" width="11.5703125" style="51" customWidth="1"/>
    <col min="26" max="26" width="17.42578125" style="46" customWidth="1"/>
    <col min="27" max="27" width="11.42578125" style="46" customWidth="1"/>
    <col min="28" max="16384" width="11.42578125" style="46"/>
  </cols>
  <sheetData>
    <row r="1" spans="1:69" s="52" customFormat="1" ht="60" customHeight="1">
      <c r="A1" s="24" t="s">
        <v>58</v>
      </c>
      <c r="B1" s="25" t="s">
        <v>17</v>
      </c>
      <c r="C1" s="26" t="s">
        <v>23</v>
      </c>
      <c r="D1" s="25" t="s">
        <v>59</v>
      </c>
      <c r="E1" s="25" t="s">
        <v>29</v>
      </c>
      <c r="F1" s="25" t="s">
        <v>32</v>
      </c>
      <c r="G1" s="76" t="s">
        <v>60</v>
      </c>
      <c r="H1" s="76" t="s">
        <v>61</v>
      </c>
      <c r="I1" s="27" t="s">
        <v>39</v>
      </c>
      <c r="J1" s="27" t="s">
        <v>62</v>
      </c>
      <c r="K1" s="28" t="s">
        <v>63</v>
      </c>
      <c r="L1" s="25" t="s">
        <v>64</v>
      </c>
      <c r="M1" s="29" t="s">
        <v>43</v>
      </c>
      <c r="N1" s="29" t="s">
        <v>65</v>
      </c>
      <c r="O1" s="29" t="s">
        <v>66</v>
      </c>
      <c r="P1" s="29" t="s">
        <v>67</v>
      </c>
      <c r="Q1" s="25" t="s">
        <v>68</v>
      </c>
      <c r="R1" s="28" t="s">
        <v>69</v>
      </c>
      <c r="S1" s="28" t="s">
        <v>51</v>
      </c>
      <c r="T1" s="27" t="s">
        <v>70</v>
      </c>
      <c r="U1" s="27" t="s">
        <v>71</v>
      </c>
      <c r="V1" s="25" t="s">
        <v>53</v>
      </c>
      <c r="W1" s="25" t="s">
        <v>72</v>
      </c>
      <c r="X1" s="25" t="s">
        <v>73</v>
      </c>
      <c r="Y1" s="36" t="s">
        <v>74</v>
      </c>
      <c r="Z1" s="39" t="s">
        <v>75</v>
      </c>
      <c r="AA1" s="45" t="s">
        <v>76</v>
      </c>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row>
    <row r="2" spans="1:69" ht="52.35" customHeight="1">
      <c r="A2" s="1" t="s">
        <v>77</v>
      </c>
      <c r="B2" s="1" t="s">
        <v>78</v>
      </c>
      <c r="C2" s="4" t="s">
        <v>79</v>
      </c>
      <c r="D2" s="1" t="s">
        <v>80</v>
      </c>
      <c r="E2" s="1" t="s">
        <v>80</v>
      </c>
      <c r="F2" s="14" t="s">
        <v>81</v>
      </c>
      <c r="G2" s="21" t="s">
        <v>82</v>
      </c>
      <c r="H2" s="21" t="s">
        <v>83</v>
      </c>
      <c r="I2" s="1" t="s">
        <v>84</v>
      </c>
      <c r="J2" s="1" t="s">
        <v>85</v>
      </c>
      <c r="K2" s="1" t="s">
        <v>86</v>
      </c>
      <c r="L2" s="1" t="s">
        <v>87</v>
      </c>
      <c r="M2" s="2">
        <v>21.75</v>
      </c>
      <c r="N2" s="34" t="s">
        <v>7</v>
      </c>
      <c r="O2" s="34" t="str">
        <f>IF(ISNUMBER(SEARCH("IMS",PMS_Catalog[[#This Row],[WU Id]])),"IMS",PMS_Catalog[[#This Row],[UNIQUE PRICE per hour]]*PMS_Catalog[[#This Row],[PMS Effort (Hours)]])</f>
        <v>IMS</v>
      </c>
      <c r="P2" s="34">
        <v>20</v>
      </c>
      <c r="Q2" s="53" t="s">
        <v>88</v>
      </c>
      <c r="R2" s="1" t="s">
        <v>89</v>
      </c>
      <c r="S2" s="1"/>
      <c r="T2" s="31">
        <v>44768</v>
      </c>
      <c r="U2" s="1" t="s">
        <v>90</v>
      </c>
      <c r="V2" s="31">
        <v>44652</v>
      </c>
      <c r="W2" s="1">
        <f t="shared" ref="W2:W65" ca="1" si="0">DATEDIF(V2, TODAY(), "Y")</f>
        <v>4</v>
      </c>
      <c r="X2" s="1" cm="1">
        <f t="array" ref="X2">_xlfn.IFS(W1=1,8%,W1=2,10%,W1&gt;2,10%,W1&lt;1,0)</f>
        <v>0.1</v>
      </c>
      <c r="Y2" s="35" t="str">
        <f t="shared" ref="Y2:Y65" si="1">IF(ISNUMBER(SEARCH("IMS",A2)),"IMS",O2-O2*X2)</f>
        <v>IMS</v>
      </c>
      <c r="Z2" s="40"/>
      <c r="AA2" s="1" t="str">
        <f>LEFT(PMS_Catalog[[#This Row],[WU Id]],3)</f>
        <v>IMS</v>
      </c>
    </row>
    <row r="3" spans="1:69" ht="39" customHeight="1">
      <c r="A3" s="1" t="s">
        <v>91</v>
      </c>
      <c r="B3" s="1" t="s">
        <v>78</v>
      </c>
      <c r="C3" s="1" t="s">
        <v>92</v>
      </c>
      <c r="D3" s="1" t="s">
        <v>93</v>
      </c>
      <c r="E3" s="1" t="s">
        <v>94</v>
      </c>
      <c r="F3" s="14" t="s">
        <v>95</v>
      </c>
      <c r="G3" s="21" t="s">
        <v>96</v>
      </c>
      <c r="H3" s="21" t="s">
        <v>97</v>
      </c>
      <c r="I3" s="1" t="s">
        <v>89</v>
      </c>
      <c r="J3" s="1" t="s">
        <v>89</v>
      </c>
      <c r="K3" s="1" t="s">
        <v>89</v>
      </c>
      <c r="L3" s="1" t="s">
        <v>98</v>
      </c>
      <c r="M3" s="2">
        <v>21.75</v>
      </c>
      <c r="N3" s="34" t="s">
        <v>7</v>
      </c>
      <c r="O3" s="34" t="str">
        <f>IF(ISNUMBER(SEARCH("IMS",PMS_Catalog[[#This Row],[WU Id]])),"IMS",PMS_Catalog[[#This Row],[UNIQUE PRICE per hour]]*PMS_Catalog[[#This Row],[PMS Effort (Hours)]])</f>
        <v>IMS</v>
      </c>
      <c r="P3" s="34" t="s">
        <v>99</v>
      </c>
      <c r="Q3" s="53" t="s">
        <v>88</v>
      </c>
      <c r="R3" s="1" t="s">
        <v>89</v>
      </c>
      <c r="S3" s="1"/>
      <c r="T3" s="31">
        <v>44768</v>
      </c>
      <c r="U3" s="1" t="s">
        <v>90</v>
      </c>
      <c r="V3" s="31">
        <v>44652</v>
      </c>
      <c r="W3" s="1">
        <f t="shared" ca="1" si="0"/>
        <v>4</v>
      </c>
      <c r="X3" s="1" cm="1">
        <f t="array" aca="1" ref="X3" ca="1">_xlfn.IFS(W2=1,8%,W2=2,10%,W2&gt;2,10%,W2&lt;1,0)</f>
        <v>0.1</v>
      </c>
      <c r="Y3" s="35" t="str">
        <f t="shared" si="1"/>
        <v>IMS</v>
      </c>
      <c r="Z3" s="40"/>
      <c r="AA3" s="1" t="str">
        <f>LEFT(PMS_Catalog[[#This Row],[WU Id]],3)</f>
        <v>IMS</v>
      </c>
    </row>
    <row r="4" spans="1:69" ht="77.099999999999994" customHeight="1">
      <c r="A4" s="1" t="s">
        <v>100</v>
      </c>
      <c r="B4" s="1" t="s">
        <v>78</v>
      </c>
      <c r="C4" s="1" t="s">
        <v>92</v>
      </c>
      <c r="D4" s="1" t="s">
        <v>93</v>
      </c>
      <c r="E4" s="1" t="s">
        <v>94</v>
      </c>
      <c r="F4" s="14" t="s">
        <v>101</v>
      </c>
      <c r="G4" s="21" t="s">
        <v>102</v>
      </c>
      <c r="H4" s="21" t="s">
        <v>103</v>
      </c>
      <c r="I4" s="1" t="s">
        <v>104</v>
      </c>
      <c r="J4" s="1" t="s">
        <v>105</v>
      </c>
      <c r="K4" s="1" t="s">
        <v>106</v>
      </c>
      <c r="L4" s="1" t="s">
        <v>89</v>
      </c>
      <c r="M4" s="2">
        <v>21.75</v>
      </c>
      <c r="N4" s="34" t="s">
        <v>7</v>
      </c>
      <c r="O4" s="34" t="str">
        <f>IF(ISNUMBER(SEARCH("IMS",PMS_Catalog[[#This Row],[WU Id]])),"IMS",PMS_Catalog[[#This Row],[UNIQUE PRICE per hour]]*PMS_Catalog[[#This Row],[PMS Effort (Hours)]])</f>
        <v>IMS</v>
      </c>
      <c r="P4" s="34">
        <v>7</v>
      </c>
      <c r="Q4" s="53" t="s">
        <v>88</v>
      </c>
      <c r="R4" s="1" t="s">
        <v>89</v>
      </c>
      <c r="S4" s="1"/>
      <c r="T4" s="31">
        <v>44768</v>
      </c>
      <c r="U4" s="1" t="s">
        <v>90</v>
      </c>
      <c r="V4" s="31">
        <v>44652</v>
      </c>
      <c r="W4" s="1">
        <f t="shared" ca="1" si="0"/>
        <v>4</v>
      </c>
      <c r="X4" s="1" cm="1">
        <f t="array" aca="1" ref="X4" ca="1">_xlfn.IFS(W3=1,8%,W3=2,10%,W3&gt;2,10%,W3&lt;1,0)</f>
        <v>0.1</v>
      </c>
      <c r="Y4" s="35" t="str">
        <f t="shared" si="1"/>
        <v>IMS</v>
      </c>
      <c r="Z4" s="40"/>
      <c r="AA4" s="1" t="str">
        <f>LEFT(PMS_Catalog[[#This Row],[WU Id]],3)</f>
        <v>IMS</v>
      </c>
    </row>
    <row r="5" spans="1:69" ht="39" customHeight="1">
      <c r="A5" s="1" t="s">
        <v>107</v>
      </c>
      <c r="B5" s="1" t="s">
        <v>78</v>
      </c>
      <c r="C5" s="1" t="s">
        <v>92</v>
      </c>
      <c r="D5" s="1" t="s">
        <v>108</v>
      </c>
      <c r="E5" s="1" t="s">
        <v>109</v>
      </c>
      <c r="F5" s="13" t="s">
        <v>81</v>
      </c>
      <c r="G5" s="21" t="s">
        <v>110</v>
      </c>
      <c r="H5" s="21" t="s">
        <v>111</v>
      </c>
      <c r="I5" s="1" t="s">
        <v>112</v>
      </c>
      <c r="J5" s="1" t="s">
        <v>113</v>
      </c>
      <c r="K5" s="1" t="s">
        <v>114</v>
      </c>
      <c r="L5" s="1" t="s">
        <v>115</v>
      </c>
      <c r="M5" s="2">
        <v>21.75</v>
      </c>
      <c r="N5" s="34">
        <v>4</v>
      </c>
      <c r="O5" s="34" t="str">
        <f>IF(ISNUMBER(SEARCH("IMS",PMS_Catalog[[#This Row],[WU Id]])),"IMS",PMS_Catalog[[#This Row],[UNIQUE PRICE per hour]]*PMS_Catalog[[#This Row],[PMS Effort (Hours)]])</f>
        <v>IMS</v>
      </c>
      <c r="P5" s="34">
        <v>7</v>
      </c>
      <c r="Q5" s="53" t="s">
        <v>88</v>
      </c>
      <c r="R5" s="1" t="s">
        <v>89</v>
      </c>
      <c r="S5" s="1"/>
      <c r="T5" s="31">
        <v>44768</v>
      </c>
      <c r="U5" s="1" t="s">
        <v>90</v>
      </c>
      <c r="V5" s="31">
        <v>44652</v>
      </c>
      <c r="W5" s="1">
        <f t="shared" ca="1" si="0"/>
        <v>4</v>
      </c>
      <c r="X5" s="1" cm="1">
        <f t="array" aca="1" ref="X5" ca="1">_xlfn.IFS(W4=1,8%,W4=2,10%,W4&gt;2,10%,W4&lt;1,0)</f>
        <v>0.1</v>
      </c>
      <c r="Y5" s="35" t="str">
        <f t="shared" si="1"/>
        <v>IMS</v>
      </c>
      <c r="Z5" s="40"/>
      <c r="AA5" s="1" t="str">
        <f>LEFT(PMS_Catalog[[#This Row],[WU Id]],3)</f>
        <v>IMS</v>
      </c>
    </row>
    <row r="6" spans="1:69" ht="39" customHeight="1">
      <c r="A6" s="1" t="s">
        <v>116</v>
      </c>
      <c r="B6" s="1" t="s">
        <v>78</v>
      </c>
      <c r="C6" s="1" t="s">
        <v>92</v>
      </c>
      <c r="D6" s="1" t="s">
        <v>108</v>
      </c>
      <c r="E6" s="1" t="s">
        <v>109</v>
      </c>
      <c r="F6" s="13" t="s">
        <v>81</v>
      </c>
      <c r="G6" s="21" t="s">
        <v>117</v>
      </c>
      <c r="H6" s="21" t="s">
        <v>118</v>
      </c>
      <c r="I6" s="1" t="s">
        <v>89</v>
      </c>
      <c r="J6" s="1" t="s">
        <v>89</v>
      </c>
      <c r="K6" s="1" t="s">
        <v>89</v>
      </c>
      <c r="L6" s="1" t="s">
        <v>119</v>
      </c>
      <c r="M6" s="2">
        <v>21.75</v>
      </c>
      <c r="N6" s="34" t="s">
        <v>7</v>
      </c>
      <c r="O6" s="34" t="str">
        <f>IF(ISNUMBER(SEARCH("IMS",PMS_Catalog[[#This Row],[WU Id]])),"IMS",PMS_Catalog[[#This Row],[UNIQUE PRICE per hour]]*PMS_Catalog[[#This Row],[PMS Effort (Hours)]])</f>
        <v>IMS</v>
      </c>
      <c r="P6" s="34">
        <v>7</v>
      </c>
      <c r="Q6" s="53" t="s">
        <v>88</v>
      </c>
      <c r="R6" s="1" t="s">
        <v>89</v>
      </c>
      <c r="S6" s="1"/>
      <c r="T6" s="31">
        <v>44768</v>
      </c>
      <c r="U6" s="1" t="s">
        <v>90</v>
      </c>
      <c r="V6" s="31">
        <v>44652</v>
      </c>
      <c r="W6" s="1">
        <f t="shared" ca="1" si="0"/>
        <v>4</v>
      </c>
      <c r="X6" s="1" cm="1">
        <f t="array" aca="1" ref="X6" ca="1">_xlfn.IFS(W5=1,8%,W5=2,10%,W5&gt;2,10%,W5&lt;1,0)</f>
        <v>0.1</v>
      </c>
      <c r="Y6" s="35" t="str">
        <f t="shared" si="1"/>
        <v>IMS</v>
      </c>
      <c r="Z6" s="40"/>
      <c r="AA6" s="1" t="str">
        <f>LEFT(PMS_Catalog[[#This Row],[WU Id]],3)</f>
        <v>IMS</v>
      </c>
    </row>
    <row r="7" spans="1:69" ht="39" customHeight="1">
      <c r="A7" s="1" t="s">
        <v>120</v>
      </c>
      <c r="B7" s="1" t="s">
        <v>78</v>
      </c>
      <c r="C7" s="1" t="s">
        <v>92</v>
      </c>
      <c r="D7" s="1" t="s">
        <v>108</v>
      </c>
      <c r="E7" s="1" t="s">
        <v>109</v>
      </c>
      <c r="F7" s="13" t="s">
        <v>81</v>
      </c>
      <c r="G7" s="21" t="s">
        <v>121</v>
      </c>
      <c r="H7" s="21" t="s">
        <v>122</v>
      </c>
      <c r="I7" s="1" t="s">
        <v>89</v>
      </c>
      <c r="J7" s="1" t="s">
        <v>89</v>
      </c>
      <c r="K7" s="1" t="s">
        <v>89</v>
      </c>
      <c r="L7" s="1" t="s">
        <v>119</v>
      </c>
      <c r="M7" s="2">
        <v>21.75</v>
      </c>
      <c r="N7" s="34">
        <v>5</v>
      </c>
      <c r="O7" s="34" t="str">
        <f>IF(ISNUMBER(SEARCH("IMS",PMS_Catalog[[#This Row],[WU Id]])),"IMS",PMS_Catalog[[#This Row],[UNIQUE PRICE per hour]]*PMS_Catalog[[#This Row],[PMS Effort (Hours)]])</f>
        <v>IMS</v>
      </c>
      <c r="P7" s="34">
        <v>10</v>
      </c>
      <c r="Q7" s="53" t="s">
        <v>88</v>
      </c>
      <c r="R7" s="1" t="s">
        <v>89</v>
      </c>
      <c r="S7" s="1"/>
      <c r="T7" s="31">
        <v>44768</v>
      </c>
      <c r="U7" s="1" t="s">
        <v>90</v>
      </c>
      <c r="V7" s="31">
        <v>44652</v>
      </c>
      <c r="W7" s="1">
        <f t="shared" ca="1" si="0"/>
        <v>4</v>
      </c>
      <c r="X7" s="1" cm="1">
        <f t="array" aca="1" ref="X7" ca="1">_xlfn.IFS(W6=1,8%,W6=2,10%,W6&gt;2,10%,W6&lt;1,0)</f>
        <v>0.1</v>
      </c>
      <c r="Y7" s="35" t="str">
        <f t="shared" si="1"/>
        <v>IMS</v>
      </c>
      <c r="Z7" s="40"/>
      <c r="AA7" s="1" t="str">
        <f>LEFT(PMS_Catalog[[#This Row],[WU Id]],3)</f>
        <v>IMS</v>
      </c>
    </row>
    <row r="8" spans="1:69" ht="39" customHeight="1">
      <c r="A8" s="1" t="s">
        <v>123</v>
      </c>
      <c r="B8" s="1" t="s">
        <v>78</v>
      </c>
      <c r="C8" s="1" t="s">
        <v>92</v>
      </c>
      <c r="D8" s="1" t="s">
        <v>124</v>
      </c>
      <c r="E8" s="1" t="s">
        <v>124</v>
      </c>
      <c r="F8" s="14" t="s">
        <v>125</v>
      </c>
      <c r="G8" s="21" t="s">
        <v>126</v>
      </c>
      <c r="H8" s="21" t="s">
        <v>127</v>
      </c>
      <c r="I8" s="1" t="s">
        <v>128</v>
      </c>
      <c r="J8" s="1" t="s">
        <v>128</v>
      </c>
      <c r="K8" s="1" t="s">
        <v>89</v>
      </c>
      <c r="L8" s="1" t="s">
        <v>129</v>
      </c>
      <c r="M8" s="2">
        <v>21.75</v>
      </c>
      <c r="N8" s="34" t="s">
        <v>7</v>
      </c>
      <c r="O8" s="34" t="str">
        <f>IF(ISNUMBER(SEARCH("IMS",PMS_Catalog[[#This Row],[WU Id]])),"IMS",PMS_Catalog[[#This Row],[UNIQUE PRICE per hour]]*PMS_Catalog[[#This Row],[PMS Effort (Hours)]])</f>
        <v>IMS</v>
      </c>
      <c r="P8" s="34" t="s">
        <v>99</v>
      </c>
      <c r="Q8" s="53" t="s">
        <v>88</v>
      </c>
      <c r="R8" s="1" t="s">
        <v>89</v>
      </c>
      <c r="S8" s="1"/>
      <c r="T8" s="31">
        <v>44768</v>
      </c>
      <c r="U8" s="1" t="s">
        <v>90</v>
      </c>
      <c r="V8" s="31">
        <v>44652</v>
      </c>
      <c r="W8" s="1">
        <f t="shared" ca="1" si="0"/>
        <v>4</v>
      </c>
      <c r="X8" s="1" cm="1">
        <f t="array" aca="1" ref="X8" ca="1">_xlfn.IFS(W7=1,8%,W7=2,10%,W7&gt;2,10%,W7&lt;1,0)</f>
        <v>0.1</v>
      </c>
      <c r="Y8" s="35" t="str">
        <f t="shared" si="1"/>
        <v>IMS</v>
      </c>
      <c r="Z8" s="40"/>
      <c r="AA8" s="1" t="str">
        <f>LEFT(PMS_Catalog[[#This Row],[WU Id]],3)</f>
        <v>IMS</v>
      </c>
    </row>
    <row r="9" spans="1:69" ht="39" customHeight="1">
      <c r="A9" s="1" t="s">
        <v>130</v>
      </c>
      <c r="B9" s="1" t="s">
        <v>78</v>
      </c>
      <c r="C9" s="1" t="s">
        <v>131</v>
      </c>
      <c r="D9" s="1" t="s">
        <v>132</v>
      </c>
      <c r="E9" s="1" t="s">
        <v>133</v>
      </c>
      <c r="F9" s="13" t="s">
        <v>134</v>
      </c>
      <c r="G9" s="21" t="s">
        <v>135</v>
      </c>
      <c r="H9" s="21">
        <v>0</v>
      </c>
      <c r="I9" s="1" t="s">
        <v>89</v>
      </c>
      <c r="J9" s="1" t="s">
        <v>89</v>
      </c>
      <c r="K9" s="1" t="s">
        <v>89</v>
      </c>
      <c r="L9" s="1" t="s">
        <v>136</v>
      </c>
      <c r="M9" s="2">
        <v>21.75</v>
      </c>
      <c r="N9" s="34" t="s">
        <v>7</v>
      </c>
      <c r="O9" s="34" t="str">
        <f>IF(ISNUMBER(SEARCH("IMS",PMS_Catalog[[#This Row],[WU Id]])),"IMS",PMS_Catalog[[#This Row],[UNIQUE PRICE per hour]]*PMS_Catalog[[#This Row],[PMS Effort (Hours)]])</f>
        <v>IMS</v>
      </c>
      <c r="P9" s="34">
        <v>3</v>
      </c>
      <c r="Q9" s="53" t="s">
        <v>88</v>
      </c>
      <c r="R9" s="1" t="s">
        <v>89</v>
      </c>
      <c r="S9" s="1"/>
      <c r="T9" s="31">
        <v>44768</v>
      </c>
      <c r="U9" s="1" t="s">
        <v>90</v>
      </c>
      <c r="V9" s="31">
        <v>44652</v>
      </c>
      <c r="W9" s="1">
        <f t="shared" ca="1" si="0"/>
        <v>4</v>
      </c>
      <c r="X9" s="1" cm="1">
        <f t="array" aca="1" ref="X9" ca="1">_xlfn.IFS(W8=1,8%,W8=2,10%,W8&gt;2,10%,W8&lt;1,0)</f>
        <v>0.1</v>
      </c>
      <c r="Y9" s="35" t="str">
        <f t="shared" si="1"/>
        <v>IMS</v>
      </c>
      <c r="Z9" s="40"/>
      <c r="AA9" s="1" t="str">
        <f>LEFT(PMS_Catalog[[#This Row],[WU Id]],3)</f>
        <v>IMS</v>
      </c>
    </row>
    <row r="10" spans="1:69" ht="39" customHeight="1">
      <c r="A10" s="1" t="s">
        <v>137</v>
      </c>
      <c r="B10" s="1" t="s">
        <v>78</v>
      </c>
      <c r="C10" s="1" t="s">
        <v>92</v>
      </c>
      <c r="D10" s="1" t="s">
        <v>138</v>
      </c>
      <c r="E10" s="1" t="s">
        <v>139</v>
      </c>
      <c r="F10" s="13" t="s">
        <v>140</v>
      </c>
      <c r="G10" s="21" t="s">
        <v>141</v>
      </c>
      <c r="H10" s="21" t="s">
        <v>142</v>
      </c>
      <c r="I10" s="1" t="s">
        <v>89</v>
      </c>
      <c r="J10" s="1" t="s">
        <v>89</v>
      </c>
      <c r="K10" s="1" t="s">
        <v>143</v>
      </c>
      <c r="L10" s="1" t="s">
        <v>144</v>
      </c>
      <c r="M10" s="2">
        <v>21.75</v>
      </c>
      <c r="N10" s="34" t="s">
        <v>7</v>
      </c>
      <c r="O10" s="34" t="str">
        <f>IF(ISNUMBER(SEARCH("IMS",PMS_Catalog[[#This Row],[WU Id]])),"IMS",PMS_Catalog[[#This Row],[UNIQUE PRICE per hour]]*PMS_Catalog[[#This Row],[PMS Effort (Hours)]])</f>
        <v>IMS</v>
      </c>
      <c r="P10" s="34">
        <v>15</v>
      </c>
      <c r="Q10" s="53" t="s">
        <v>88</v>
      </c>
      <c r="R10" s="1" t="s">
        <v>89</v>
      </c>
      <c r="S10" s="1"/>
      <c r="T10" s="31">
        <v>44768</v>
      </c>
      <c r="U10" s="1" t="s">
        <v>90</v>
      </c>
      <c r="V10" s="31">
        <v>44652</v>
      </c>
      <c r="W10" s="1">
        <f t="shared" ca="1" si="0"/>
        <v>4</v>
      </c>
      <c r="X10" s="1" cm="1">
        <f t="array" aca="1" ref="X10" ca="1">_xlfn.IFS(W9=1,8%,W9=2,10%,W9&gt;2,10%,W9&lt;1,0)</f>
        <v>0.1</v>
      </c>
      <c r="Y10" s="35" t="str">
        <f t="shared" si="1"/>
        <v>IMS</v>
      </c>
      <c r="Z10" s="40"/>
      <c r="AA10" s="1" t="str">
        <f>LEFT(PMS_Catalog[[#This Row],[WU Id]],3)</f>
        <v>IMS</v>
      </c>
    </row>
    <row r="11" spans="1:69" ht="39" customHeight="1">
      <c r="A11" s="1" t="s">
        <v>145</v>
      </c>
      <c r="B11" s="1" t="s">
        <v>78</v>
      </c>
      <c r="C11" s="1" t="s">
        <v>92</v>
      </c>
      <c r="D11" s="1" t="s">
        <v>139</v>
      </c>
      <c r="E11" s="1" t="s">
        <v>139</v>
      </c>
      <c r="F11" s="13" t="s">
        <v>140</v>
      </c>
      <c r="G11" s="21" t="s">
        <v>146</v>
      </c>
      <c r="H11" s="21" t="s">
        <v>147</v>
      </c>
      <c r="I11" s="1" t="s">
        <v>89</v>
      </c>
      <c r="J11" s="1" t="s">
        <v>89</v>
      </c>
      <c r="K11" s="1" t="s">
        <v>143</v>
      </c>
      <c r="L11" s="1" t="s">
        <v>148</v>
      </c>
      <c r="M11" s="2">
        <v>21.75</v>
      </c>
      <c r="N11" s="34" t="s">
        <v>7</v>
      </c>
      <c r="O11" s="34" t="str">
        <f>IF(ISNUMBER(SEARCH("IMS",PMS_Catalog[[#This Row],[WU Id]])),"IMS",PMS_Catalog[[#This Row],[UNIQUE PRICE per hour]]*PMS_Catalog[[#This Row],[PMS Effort (Hours)]])</f>
        <v>IMS</v>
      </c>
      <c r="P11" s="34">
        <v>7</v>
      </c>
      <c r="Q11" s="53" t="s">
        <v>88</v>
      </c>
      <c r="R11" s="1" t="s">
        <v>89</v>
      </c>
      <c r="S11" s="1"/>
      <c r="T11" s="31">
        <v>45021</v>
      </c>
      <c r="U11" s="1" t="s">
        <v>149</v>
      </c>
      <c r="V11" s="31">
        <v>45021</v>
      </c>
      <c r="W11" s="1">
        <f t="shared" ca="1" si="0"/>
        <v>3</v>
      </c>
      <c r="X11" s="1" cm="1">
        <f t="array" aca="1" ref="X11" ca="1">_xlfn.IFS(W10=1,8%,W10=2,10%,W10&gt;2,10%,W10&lt;1,0)</f>
        <v>0.1</v>
      </c>
      <c r="Y11" s="35" t="str">
        <f t="shared" si="1"/>
        <v>IMS</v>
      </c>
      <c r="Z11" s="40"/>
      <c r="AA11" s="1" t="str">
        <f>LEFT(PMS_Catalog[[#This Row],[WU Id]],3)</f>
        <v>IMS</v>
      </c>
    </row>
    <row r="12" spans="1:69" ht="39" customHeight="1">
      <c r="A12" s="1" t="s">
        <v>150</v>
      </c>
      <c r="B12" s="1" t="s">
        <v>78</v>
      </c>
      <c r="C12" s="1" t="s">
        <v>92</v>
      </c>
      <c r="D12" s="1" t="s">
        <v>139</v>
      </c>
      <c r="E12" s="1" t="s">
        <v>139</v>
      </c>
      <c r="F12" s="14" t="s">
        <v>125</v>
      </c>
      <c r="G12" s="21" t="s">
        <v>151</v>
      </c>
      <c r="H12" s="21" t="s">
        <v>152</v>
      </c>
      <c r="I12" s="1" t="s">
        <v>89</v>
      </c>
      <c r="J12" s="1" t="s">
        <v>89</v>
      </c>
      <c r="K12" s="1" t="s">
        <v>89</v>
      </c>
      <c r="L12" s="1" t="s">
        <v>153</v>
      </c>
      <c r="M12" s="2">
        <v>21.75</v>
      </c>
      <c r="N12" s="34" t="s">
        <v>7</v>
      </c>
      <c r="O12" s="34" t="str">
        <f>IF(ISNUMBER(SEARCH("IMS",PMS_Catalog[[#This Row],[WU Id]])),"IMS",PMS_Catalog[[#This Row],[UNIQUE PRICE per hour]]*PMS_Catalog[[#This Row],[PMS Effort (Hours)]])</f>
        <v>IMS</v>
      </c>
      <c r="P12" s="34">
        <v>7</v>
      </c>
      <c r="Q12" s="53" t="s">
        <v>88</v>
      </c>
      <c r="R12" s="1" t="s">
        <v>89</v>
      </c>
      <c r="S12" s="1"/>
      <c r="T12" s="31">
        <v>45021</v>
      </c>
      <c r="U12" s="1" t="s">
        <v>149</v>
      </c>
      <c r="V12" s="31">
        <v>45021</v>
      </c>
      <c r="W12" s="1">
        <f t="shared" ca="1" si="0"/>
        <v>3</v>
      </c>
      <c r="X12" s="1" cm="1">
        <f t="array" aca="1" ref="X12" ca="1">_xlfn.IFS(W11=1,8%,W11=2,10%,W11&gt;2,10%,W11&lt;1,0)</f>
        <v>0.1</v>
      </c>
      <c r="Y12" s="35" t="str">
        <f t="shared" si="1"/>
        <v>IMS</v>
      </c>
      <c r="Z12" s="40"/>
      <c r="AA12" s="1" t="str">
        <f>LEFT(PMS_Catalog[[#This Row],[WU Id]],3)</f>
        <v>IMS</v>
      </c>
    </row>
    <row r="13" spans="1:69" ht="39" customHeight="1">
      <c r="A13" s="1" t="s">
        <v>154</v>
      </c>
      <c r="B13" s="1" t="s">
        <v>78</v>
      </c>
      <c r="C13" s="1" t="s">
        <v>92</v>
      </c>
      <c r="D13" s="1" t="s">
        <v>139</v>
      </c>
      <c r="E13" s="1" t="s">
        <v>139</v>
      </c>
      <c r="F13" s="14" t="s">
        <v>155</v>
      </c>
      <c r="G13" s="21" t="s">
        <v>156</v>
      </c>
      <c r="H13" s="21" t="s">
        <v>157</v>
      </c>
      <c r="I13" s="1" t="s">
        <v>89</v>
      </c>
      <c r="J13" s="1" t="s">
        <v>89</v>
      </c>
      <c r="K13" s="1" t="s">
        <v>89</v>
      </c>
      <c r="L13" s="1" t="s">
        <v>148</v>
      </c>
      <c r="M13" s="2">
        <v>21.75</v>
      </c>
      <c r="N13" s="34" t="s">
        <v>7</v>
      </c>
      <c r="O13" s="34" t="str">
        <f>IF(ISNUMBER(SEARCH("IMS",PMS_Catalog[[#This Row],[WU Id]])),"IMS",PMS_Catalog[[#This Row],[UNIQUE PRICE per hour]]*PMS_Catalog[[#This Row],[PMS Effort (Hours)]])</f>
        <v>IMS</v>
      </c>
      <c r="P13" s="34">
        <v>7</v>
      </c>
      <c r="Q13" s="53" t="s">
        <v>88</v>
      </c>
      <c r="R13" s="1" t="s">
        <v>89</v>
      </c>
      <c r="S13" s="1"/>
      <c r="T13" s="31">
        <v>45021</v>
      </c>
      <c r="U13" s="1" t="s">
        <v>149</v>
      </c>
      <c r="V13" s="31">
        <v>45021</v>
      </c>
      <c r="W13" s="1">
        <f t="shared" ca="1" si="0"/>
        <v>3</v>
      </c>
      <c r="X13" s="1" cm="1">
        <f t="array" aca="1" ref="X13" ca="1">_xlfn.IFS(W12=1,8%,W12=2,10%,W12&gt;2,10%,W12&lt;1,0)</f>
        <v>0.1</v>
      </c>
      <c r="Y13" s="35" t="str">
        <f t="shared" si="1"/>
        <v>IMS</v>
      </c>
      <c r="Z13" s="40"/>
      <c r="AA13" s="1" t="str">
        <f>LEFT(PMS_Catalog[[#This Row],[WU Id]],3)</f>
        <v>IMS</v>
      </c>
    </row>
    <row r="14" spans="1:69" ht="39" customHeight="1">
      <c r="A14" s="1" t="s">
        <v>158</v>
      </c>
      <c r="B14" s="1" t="s">
        <v>78</v>
      </c>
      <c r="C14" s="1" t="s">
        <v>92</v>
      </c>
      <c r="D14" s="1" t="s">
        <v>139</v>
      </c>
      <c r="E14" s="1" t="s">
        <v>139</v>
      </c>
      <c r="F14" s="14" t="s">
        <v>155</v>
      </c>
      <c r="G14" s="21" t="s">
        <v>159</v>
      </c>
      <c r="H14" s="21" t="s">
        <v>160</v>
      </c>
      <c r="I14" s="1" t="s">
        <v>89</v>
      </c>
      <c r="J14" s="1" t="s">
        <v>89</v>
      </c>
      <c r="K14" s="1" t="s">
        <v>89</v>
      </c>
      <c r="L14" s="1" t="s">
        <v>161</v>
      </c>
      <c r="M14" s="2">
        <v>21.75</v>
      </c>
      <c r="N14" s="34" t="s">
        <v>7</v>
      </c>
      <c r="O14" s="34" t="str">
        <f>IF(ISNUMBER(SEARCH("IMS",PMS_Catalog[[#This Row],[WU Id]])),"IMS",PMS_Catalog[[#This Row],[UNIQUE PRICE per hour]]*PMS_Catalog[[#This Row],[PMS Effort (Hours)]])</f>
        <v>IMS</v>
      </c>
      <c r="P14" s="34">
        <v>7</v>
      </c>
      <c r="Q14" s="53" t="s">
        <v>88</v>
      </c>
      <c r="R14" s="1" t="s">
        <v>89</v>
      </c>
      <c r="S14" s="1"/>
      <c r="T14" s="31">
        <v>45021</v>
      </c>
      <c r="U14" s="1" t="s">
        <v>149</v>
      </c>
      <c r="V14" s="31">
        <v>45021</v>
      </c>
      <c r="W14" s="1">
        <f t="shared" ca="1" si="0"/>
        <v>3</v>
      </c>
      <c r="X14" s="1" cm="1">
        <f t="array" aca="1" ref="X14" ca="1">_xlfn.IFS(W13=1,8%,W13=2,10%,W13&gt;2,10%,W13&lt;1,0)</f>
        <v>0.1</v>
      </c>
      <c r="Y14" s="35" t="str">
        <f t="shared" si="1"/>
        <v>IMS</v>
      </c>
      <c r="Z14" s="40"/>
      <c r="AA14" s="1" t="str">
        <f>LEFT(PMS_Catalog[[#This Row],[WU Id]],3)</f>
        <v>IMS</v>
      </c>
    </row>
    <row r="15" spans="1:69" ht="39" customHeight="1">
      <c r="A15" s="1" t="s">
        <v>162</v>
      </c>
      <c r="B15" s="1" t="s">
        <v>78</v>
      </c>
      <c r="C15" s="1" t="s">
        <v>92</v>
      </c>
      <c r="D15" s="1" t="s">
        <v>139</v>
      </c>
      <c r="E15" s="1" t="s">
        <v>139</v>
      </c>
      <c r="F15" s="14" t="s">
        <v>134</v>
      </c>
      <c r="G15" s="21" t="s">
        <v>163</v>
      </c>
      <c r="H15" s="21" t="s">
        <v>164</v>
      </c>
      <c r="I15" s="1" t="s">
        <v>89</v>
      </c>
      <c r="J15" s="1" t="s">
        <v>89</v>
      </c>
      <c r="K15" s="1" t="s">
        <v>89</v>
      </c>
      <c r="L15" s="1" t="s">
        <v>148</v>
      </c>
      <c r="M15" s="2">
        <v>21.75</v>
      </c>
      <c r="N15" s="34" t="s">
        <v>7</v>
      </c>
      <c r="O15" s="34" t="str">
        <f>IF(ISNUMBER(SEARCH("IMS",PMS_Catalog[[#This Row],[WU Id]])),"IMS",PMS_Catalog[[#This Row],[UNIQUE PRICE per hour]]*PMS_Catalog[[#This Row],[PMS Effort (Hours)]])</f>
        <v>IMS</v>
      </c>
      <c r="P15" s="34">
        <v>15</v>
      </c>
      <c r="Q15" s="53" t="s">
        <v>88</v>
      </c>
      <c r="R15" s="1" t="s">
        <v>89</v>
      </c>
      <c r="S15" s="1"/>
      <c r="T15" s="31">
        <v>45021</v>
      </c>
      <c r="U15" s="1" t="s">
        <v>149</v>
      </c>
      <c r="V15" s="31">
        <v>45021</v>
      </c>
      <c r="W15" s="1">
        <f t="shared" ca="1" si="0"/>
        <v>3</v>
      </c>
      <c r="X15" s="1" cm="1">
        <f t="array" aca="1" ref="X15" ca="1">_xlfn.IFS(W14=1,8%,W14=2,10%,W14&gt;2,10%,W14&lt;1,0)</f>
        <v>0.1</v>
      </c>
      <c r="Y15" s="35" t="str">
        <f t="shared" si="1"/>
        <v>IMS</v>
      </c>
      <c r="Z15" s="40"/>
      <c r="AA15" s="1" t="str">
        <f>LEFT(PMS_Catalog[[#This Row],[WU Id]],3)</f>
        <v>IMS</v>
      </c>
    </row>
    <row r="16" spans="1:69" ht="39" customHeight="1">
      <c r="A16" s="1" t="s">
        <v>165</v>
      </c>
      <c r="B16" s="1" t="s">
        <v>78</v>
      </c>
      <c r="C16" s="1" t="s">
        <v>92</v>
      </c>
      <c r="D16" s="1" t="s">
        <v>139</v>
      </c>
      <c r="E16" s="1" t="s">
        <v>139</v>
      </c>
      <c r="F16" s="14" t="s">
        <v>134</v>
      </c>
      <c r="G16" s="21" t="s">
        <v>166</v>
      </c>
      <c r="H16" s="21" t="s">
        <v>167</v>
      </c>
      <c r="I16" s="1" t="s">
        <v>89</v>
      </c>
      <c r="J16" s="1" t="s">
        <v>89</v>
      </c>
      <c r="K16" s="1" t="s">
        <v>89</v>
      </c>
      <c r="L16" s="1" t="s">
        <v>168</v>
      </c>
      <c r="M16" s="2">
        <v>21.75</v>
      </c>
      <c r="N16" s="34" t="s">
        <v>7</v>
      </c>
      <c r="O16" s="34" t="str">
        <f>IF(ISNUMBER(SEARCH("IMS",PMS_Catalog[[#This Row],[WU Id]])),"IMS",PMS_Catalog[[#This Row],[UNIQUE PRICE per hour]]*PMS_Catalog[[#This Row],[PMS Effort (Hours)]])</f>
        <v>IMS</v>
      </c>
      <c r="P16" s="34">
        <v>15</v>
      </c>
      <c r="Q16" s="53" t="s">
        <v>88</v>
      </c>
      <c r="R16" s="1" t="s">
        <v>89</v>
      </c>
      <c r="S16" s="1"/>
      <c r="T16" s="31">
        <v>45021</v>
      </c>
      <c r="U16" s="1" t="s">
        <v>149</v>
      </c>
      <c r="V16" s="31">
        <v>45021</v>
      </c>
      <c r="W16" s="1">
        <f t="shared" ca="1" si="0"/>
        <v>3</v>
      </c>
      <c r="X16" s="1" cm="1">
        <f t="array" aca="1" ref="X16" ca="1">_xlfn.IFS(W15=1,8%,W15=2,10%,W15&gt;2,10%,W15&lt;1,0)</f>
        <v>0.1</v>
      </c>
      <c r="Y16" s="35" t="str">
        <f t="shared" si="1"/>
        <v>IMS</v>
      </c>
      <c r="Z16" s="40"/>
      <c r="AA16" s="1" t="str">
        <f>LEFT(PMS_Catalog[[#This Row],[WU Id]],3)</f>
        <v>IMS</v>
      </c>
    </row>
    <row r="17" spans="1:27" ht="39" customHeight="1">
      <c r="A17" s="1" t="s">
        <v>169</v>
      </c>
      <c r="B17" s="1" t="s">
        <v>78</v>
      </c>
      <c r="C17" s="1" t="s">
        <v>92</v>
      </c>
      <c r="D17" s="1" t="s">
        <v>170</v>
      </c>
      <c r="E17" s="1" t="s">
        <v>171</v>
      </c>
      <c r="F17" s="13" t="s">
        <v>155</v>
      </c>
      <c r="G17" s="21" t="s">
        <v>172</v>
      </c>
      <c r="H17" s="21" t="s">
        <v>173</v>
      </c>
      <c r="I17" s="1" t="s">
        <v>89</v>
      </c>
      <c r="J17" s="1" t="s">
        <v>89</v>
      </c>
      <c r="K17" s="1" t="s">
        <v>89</v>
      </c>
      <c r="L17" s="1" t="s">
        <v>174</v>
      </c>
      <c r="M17" s="2">
        <v>21.75</v>
      </c>
      <c r="N17" s="34" t="s">
        <v>7</v>
      </c>
      <c r="O17" s="34" t="str">
        <f>IF(ISNUMBER(SEARCH("IMS",PMS_Catalog[[#This Row],[WU Id]])),"IMS",PMS_Catalog[[#This Row],[UNIQUE PRICE per hour]]*PMS_Catalog[[#This Row],[PMS Effort (Hours)]])</f>
        <v>IMS</v>
      </c>
      <c r="P17" s="34" t="s">
        <v>99</v>
      </c>
      <c r="Q17" s="53" t="s">
        <v>88</v>
      </c>
      <c r="R17" s="1" t="s">
        <v>89</v>
      </c>
      <c r="S17" s="1" t="s">
        <v>175</v>
      </c>
      <c r="T17" s="31">
        <v>44768</v>
      </c>
      <c r="U17" s="1" t="s">
        <v>90</v>
      </c>
      <c r="V17" s="31">
        <v>44652</v>
      </c>
      <c r="W17" s="1">
        <f t="shared" ca="1" si="0"/>
        <v>4</v>
      </c>
      <c r="X17" s="1" cm="1">
        <f t="array" aca="1" ref="X17" ca="1">_xlfn.IFS(W16=1,8%,W16=2,10%,W16&gt;2,10%,W16&lt;1,0)</f>
        <v>0.1</v>
      </c>
      <c r="Y17" s="35" t="str">
        <f t="shared" si="1"/>
        <v>IMS</v>
      </c>
      <c r="Z17" s="40"/>
      <c r="AA17" s="1" t="str">
        <f>LEFT(PMS_Catalog[[#This Row],[WU Id]],3)</f>
        <v>IMS</v>
      </c>
    </row>
    <row r="18" spans="1:27" ht="39" customHeight="1">
      <c r="A18" s="1" t="s">
        <v>176</v>
      </c>
      <c r="B18" s="1" t="s">
        <v>78</v>
      </c>
      <c r="C18" s="1" t="s">
        <v>92</v>
      </c>
      <c r="D18" s="1" t="s">
        <v>170</v>
      </c>
      <c r="E18" s="1" t="s">
        <v>177</v>
      </c>
      <c r="F18" s="13" t="s">
        <v>155</v>
      </c>
      <c r="G18" s="21" t="s">
        <v>178</v>
      </c>
      <c r="H18" s="21" t="s">
        <v>179</v>
      </c>
      <c r="I18" s="1" t="s">
        <v>89</v>
      </c>
      <c r="J18" s="1" t="s">
        <v>89</v>
      </c>
      <c r="K18" s="1" t="s">
        <v>89</v>
      </c>
      <c r="L18" s="1" t="s">
        <v>180</v>
      </c>
      <c r="M18" s="2">
        <v>21.75</v>
      </c>
      <c r="N18" s="34" t="s">
        <v>7</v>
      </c>
      <c r="O18" s="34" t="str">
        <f>IF(ISNUMBER(SEARCH("IMS",PMS_Catalog[[#This Row],[WU Id]])),"IMS",PMS_Catalog[[#This Row],[UNIQUE PRICE per hour]]*PMS_Catalog[[#This Row],[PMS Effort (Hours)]])</f>
        <v>IMS</v>
      </c>
      <c r="P18" s="34" t="s">
        <v>99</v>
      </c>
      <c r="Q18" s="53" t="s">
        <v>88</v>
      </c>
      <c r="R18" s="1" t="s">
        <v>89</v>
      </c>
      <c r="S18" s="1" t="s">
        <v>181</v>
      </c>
      <c r="T18" s="31">
        <v>44768</v>
      </c>
      <c r="U18" s="1" t="s">
        <v>90</v>
      </c>
      <c r="V18" s="31">
        <v>44652</v>
      </c>
      <c r="W18" s="1">
        <f t="shared" ca="1" si="0"/>
        <v>4</v>
      </c>
      <c r="X18" s="1" cm="1">
        <f t="array" aca="1" ref="X18" ca="1">_xlfn.IFS(W17=1,8%,W17=2,10%,W17&gt;2,10%,W17&lt;1,0)</f>
        <v>0.1</v>
      </c>
      <c r="Y18" s="35" t="str">
        <f t="shared" si="1"/>
        <v>IMS</v>
      </c>
      <c r="Z18" s="40"/>
      <c r="AA18" s="1" t="str">
        <f>LEFT(PMS_Catalog[[#This Row],[WU Id]],3)</f>
        <v>IMS</v>
      </c>
    </row>
    <row r="19" spans="1:27" ht="39" customHeight="1">
      <c r="A19" s="1" t="s">
        <v>182</v>
      </c>
      <c r="B19" s="1" t="s">
        <v>78</v>
      </c>
      <c r="C19" s="1" t="s">
        <v>92</v>
      </c>
      <c r="D19" s="1" t="s">
        <v>170</v>
      </c>
      <c r="E19" s="1" t="s">
        <v>183</v>
      </c>
      <c r="F19" s="13" t="s">
        <v>81</v>
      </c>
      <c r="G19" s="21" t="s">
        <v>184</v>
      </c>
      <c r="H19" s="21" t="s">
        <v>185</v>
      </c>
      <c r="I19" s="1" t="s">
        <v>89</v>
      </c>
      <c r="J19" s="1" t="s">
        <v>89</v>
      </c>
      <c r="K19" s="1" t="s">
        <v>89</v>
      </c>
      <c r="L19" s="1" t="s">
        <v>153</v>
      </c>
      <c r="M19" s="2">
        <v>21.75</v>
      </c>
      <c r="N19" s="34" t="s">
        <v>7</v>
      </c>
      <c r="O19" s="34" t="str">
        <f>IF(ISNUMBER(SEARCH("IMS",PMS_Catalog[[#This Row],[WU Id]])),"IMS",PMS_Catalog[[#This Row],[UNIQUE PRICE per hour]]*PMS_Catalog[[#This Row],[PMS Effort (Hours)]])</f>
        <v>IMS</v>
      </c>
      <c r="P19" s="34" t="s">
        <v>99</v>
      </c>
      <c r="Q19" s="53" t="s">
        <v>88</v>
      </c>
      <c r="R19" s="1" t="s">
        <v>89</v>
      </c>
      <c r="S19" s="1"/>
      <c r="T19" s="31">
        <v>44768</v>
      </c>
      <c r="U19" s="1" t="s">
        <v>90</v>
      </c>
      <c r="V19" s="31">
        <v>44652</v>
      </c>
      <c r="W19" s="1">
        <f t="shared" ca="1" si="0"/>
        <v>4</v>
      </c>
      <c r="X19" s="1" cm="1">
        <f t="array" aca="1" ref="X19" ca="1">_xlfn.IFS(W18=1,8%,W18=2,10%,W18&gt;2,10%,W18&lt;1,0)</f>
        <v>0.1</v>
      </c>
      <c r="Y19" s="35" t="str">
        <f t="shared" si="1"/>
        <v>IMS</v>
      </c>
      <c r="Z19" s="40"/>
      <c r="AA19" s="1" t="str">
        <f>LEFT(PMS_Catalog[[#This Row],[WU Id]],3)</f>
        <v>IMS</v>
      </c>
    </row>
    <row r="20" spans="1:27" ht="39" customHeight="1">
      <c r="A20" s="1" t="s">
        <v>186</v>
      </c>
      <c r="B20" s="1" t="s">
        <v>78</v>
      </c>
      <c r="C20" s="1" t="s">
        <v>92</v>
      </c>
      <c r="D20" s="1" t="s">
        <v>170</v>
      </c>
      <c r="E20" s="1" t="s">
        <v>183</v>
      </c>
      <c r="F20" s="13" t="s">
        <v>81</v>
      </c>
      <c r="G20" s="21" t="s">
        <v>187</v>
      </c>
      <c r="H20" s="21" t="s">
        <v>188</v>
      </c>
      <c r="I20" s="1" t="s">
        <v>89</v>
      </c>
      <c r="J20" s="1" t="s">
        <v>89</v>
      </c>
      <c r="K20" s="1" t="s">
        <v>89</v>
      </c>
      <c r="L20" s="1" t="s">
        <v>189</v>
      </c>
      <c r="M20" s="2">
        <v>21.75</v>
      </c>
      <c r="N20" s="34" t="s">
        <v>7</v>
      </c>
      <c r="O20" s="34" t="str">
        <f>IF(ISNUMBER(SEARCH("IMS",PMS_Catalog[[#This Row],[WU Id]])),"IMS",PMS_Catalog[[#This Row],[UNIQUE PRICE per hour]]*PMS_Catalog[[#This Row],[PMS Effort (Hours)]])</f>
        <v>IMS</v>
      </c>
      <c r="P20" s="34" t="s">
        <v>99</v>
      </c>
      <c r="Q20" s="53" t="s">
        <v>88</v>
      </c>
      <c r="R20" s="1" t="s">
        <v>89</v>
      </c>
      <c r="S20" s="1"/>
      <c r="T20" s="31">
        <v>44768</v>
      </c>
      <c r="U20" s="1" t="s">
        <v>90</v>
      </c>
      <c r="V20" s="31">
        <v>44652</v>
      </c>
      <c r="W20" s="1">
        <f t="shared" ca="1" si="0"/>
        <v>4</v>
      </c>
      <c r="X20" s="1" cm="1">
        <f t="array" aca="1" ref="X20" ca="1">_xlfn.IFS(W19=1,8%,W19=2,10%,W19&gt;2,10%,W19&lt;1,0)</f>
        <v>0.1</v>
      </c>
      <c r="Y20" s="35" t="str">
        <f t="shared" si="1"/>
        <v>IMS</v>
      </c>
      <c r="Z20" s="40"/>
      <c r="AA20" s="1" t="str">
        <f>LEFT(PMS_Catalog[[#This Row],[WU Id]],3)</f>
        <v>IMS</v>
      </c>
    </row>
    <row r="21" spans="1:27" ht="39" customHeight="1">
      <c r="A21" s="1" t="s">
        <v>190</v>
      </c>
      <c r="B21" s="1" t="s">
        <v>78</v>
      </c>
      <c r="C21" s="1" t="s">
        <v>92</v>
      </c>
      <c r="D21" s="1" t="s">
        <v>191</v>
      </c>
      <c r="E21" s="1" t="s">
        <v>191</v>
      </c>
      <c r="F21" s="12" t="s">
        <v>192</v>
      </c>
      <c r="G21" s="21" t="s">
        <v>193</v>
      </c>
      <c r="H21" s="21" t="s">
        <v>194</v>
      </c>
      <c r="I21" s="1" t="s">
        <v>195</v>
      </c>
      <c r="J21" s="1" t="s">
        <v>196</v>
      </c>
      <c r="K21" s="1" t="s">
        <v>89</v>
      </c>
      <c r="L21" s="1" t="s">
        <v>197</v>
      </c>
      <c r="M21" s="2">
        <v>21.75</v>
      </c>
      <c r="N21" s="30">
        <v>1.8</v>
      </c>
      <c r="O21" s="30">
        <f>IF(ISNUMBER(SEARCH("IMS",PMS_Catalog[[#This Row],[WU Id]])),"IMS",PMS_Catalog[[#This Row],[UNIQUE PRICE per hour]]*PMS_Catalog[[#This Row],[PMS Effort (Hours)]])</f>
        <v>39.15</v>
      </c>
      <c r="P21" s="30">
        <v>3</v>
      </c>
      <c r="Q21" s="53" t="s">
        <v>88</v>
      </c>
      <c r="R21" s="1" t="s">
        <v>89</v>
      </c>
      <c r="S21" s="1"/>
      <c r="T21" s="31">
        <v>44768</v>
      </c>
      <c r="U21" s="1" t="s">
        <v>90</v>
      </c>
      <c r="V21" s="31">
        <v>44652</v>
      </c>
      <c r="W21" s="1">
        <f t="shared" ca="1" si="0"/>
        <v>4</v>
      </c>
      <c r="X21" s="1" cm="1">
        <f t="array" aca="1" ref="X21" ca="1">_xlfn.IFS(W20=1,8%,W20=2,10%,W20&gt;2,10%,W20&lt;1,0)</f>
        <v>0.1</v>
      </c>
      <c r="Y21" s="35">
        <f t="shared" ca="1" si="1"/>
        <v>35.234999999999999</v>
      </c>
      <c r="Z21" s="40"/>
      <c r="AA21" s="1" t="str">
        <f>LEFT(PMS_Catalog[[#This Row],[WU Id]],3)</f>
        <v>PMS</v>
      </c>
    </row>
    <row r="22" spans="1:27" ht="90" customHeight="1">
      <c r="A22" s="1" t="s">
        <v>198</v>
      </c>
      <c r="B22" s="1" t="s">
        <v>78</v>
      </c>
      <c r="C22" s="1" t="s">
        <v>131</v>
      </c>
      <c r="D22" s="1" t="s">
        <v>199</v>
      </c>
      <c r="E22" s="1" t="s">
        <v>200</v>
      </c>
      <c r="F22" s="12" t="s">
        <v>192</v>
      </c>
      <c r="G22" s="21" t="s">
        <v>201</v>
      </c>
      <c r="H22" s="21" t="s">
        <v>202</v>
      </c>
      <c r="I22" s="1" t="s">
        <v>203</v>
      </c>
      <c r="J22" s="1" t="s">
        <v>204</v>
      </c>
      <c r="K22" s="1" t="s">
        <v>205</v>
      </c>
      <c r="L22" s="1" t="s">
        <v>206</v>
      </c>
      <c r="M22" s="2">
        <v>21.75</v>
      </c>
      <c r="N22" s="30">
        <v>2.7</v>
      </c>
      <c r="O22" s="30">
        <f>IF(ISNUMBER(SEARCH("IMS",PMS_Catalog[[#This Row],[WU Id]])),"IMS",PMS_Catalog[[#This Row],[UNIQUE PRICE per hour]]*PMS_Catalog[[#This Row],[PMS Effort (Hours)]])</f>
        <v>58.725000000000001</v>
      </c>
      <c r="P22" s="30">
        <v>10</v>
      </c>
      <c r="Q22" s="53" t="s">
        <v>88</v>
      </c>
      <c r="R22" s="1" t="s">
        <v>89</v>
      </c>
      <c r="S22" s="1"/>
      <c r="T22" s="31">
        <v>44768</v>
      </c>
      <c r="U22" s="1" t="s">
        <v>90</v>
      </c>
      <c r="V22" s="31">
        <v>44652</v>
      </c>
      <c r="W22" s="1">
        <f t="shared" ca="1" si="0"/>
        <v>4</v>
      </c>
      <c r="X22" s="1" cm="1">
        <f t="array" aca="1" ref="X22" ca="1">_xlfn.IFS(W21=1,8%,W21=2,10%,W21&gt;2,10%,W21&lt;1,0)</f>
        <v>0.1</v>
      </c>
      <c r="Y22" s="35">
        <f t="shared" ca="1" si="1"/>
        <v>52.852499999999999</v>
      </c>
      <c r="Z22" s="40"/>
      <c r="AA22" s="1" t="str">
        <f>LEFT(PMS_Catalog[[#This Row],[WU Id]],3)</f>
        <v>PMS</v>
      </c>
    </row>
    <row r="23" spans="1:27" ht="39" customHeight="1">
      <c r="A23" s="1" t="s">
        <v>207</v>
      </c>
      <c r="B23" s="1" t="s">
        <v>78</v>
      </c>
      <c r="C23" s="1" t="s">
        <v>92</v>
      </c>
      <c r="D23" s="1" t="s">
        <v>93</v>
      </c>
      <c r="E23" s="1" t="s">
        <v>94</v>
      </c>
      <c r="F23" s="12" t="s">
        <v>192</v>
      </c>
      <c r="G23" s="21" t="s">
        <v>208</v>
      </c>
      <c r="H23" s="21" t="s">
        <v>209</v>
      </c>
      <c r="I23" s="1" t="s">
        <v>104</v>
      </c>
      <c r="J23" s="1" t="s">
        <v>105</v>
      </c>
      <c r="K23" s="1" t="s">
        <v>210</v>
      </c>
      <c r="L23" s="1" t="s">
        <v>206</v>
      </c>
      <c r="M23" s="2">
        <v>21.75</v>
      </c>
      <c r="N23" s="30">
        <v>3.6</v>
      </c>
      <c r="O23" s="30">
        <f>IF(ISNUMBER(SEARCH("IMS",PMS_Catalog[[#This Row],[WU Id]])),"IMS",PMS_Catalog[[#This Row],[UNIQUE PRICE per hour]]*PMS_Catalog[[#This Row],[PMS Effort (Hours)]])</f>
        <v>78.3</v>
      </c>
      <c r="P23" s="30">
        <v>10</v>
      </c>
      <c r="Q23" s="53" t="s">
        <v>88</v>
      </c>
      <c r="R23" s="1" t="s">
        <v>89</v>
      </c>
      <c r="S23" s="1"/>
      <c r="T23" s="31">
        <v>44768</v>
      </c>
      <c r="U23" s="1" t="s">
        <v>90</v>
      </c>
      <c r="V23" s="31">
        <v>44652</v>
      </c>
      <c r="W23" s="1">
        <f t="shared" ca="1" si="0"/>
        <v>4</v>
      </c>
      <c r="X23" s="1" cm="1">
        <f t="array" aca="1" ref="X23" ca="1">_xlfn.IFS(W22=1,8%,W22=2,10%,W22&gt;2,10%,W22&lt;1,0)</f>
        <v>0.1</v>
      </c>
      <c r="Y23" s="35">
        <f t="shared" ca="1" si="1"/>
        <v>70.47</v>
      </c>
      <c r="Z23" s="40"/>
      <c r="AA23" s="1" t="str">
        <f>LEFT(PMS_Catalog[[#This Row],[WU Id]],3)</f>
        <v>PMS</v>
      </c>
    </row>
    <row r="24" spans="1:27" ht="58.5" customHeight="1">
      <c r="A24" s="1" t="s">
        <v>211</v>
      </c>
      <c r="B24" s="1" t="s">
        <v>78</v>
      </c>
      <c r="C24" s="1" t="s">
        <v>92</v>
      </c>
      <c r="D24" s="1" t="s">
        <v>108</v>
      </c>
      <c r="E24" s="1" t="s">
        <v>212</v>
      </c>
      <c r="F24" s="12" t="s">
        <v>192</v>
      </c>
      <c r="G24" s="21" t="s">
        <v>213</v>
      </c>
      <c r="H24" s="21" t="s">
        <v>214</v>
      </c>
      <c r="I24" s="1" t="s">
        <v>112</v>
      </c>
      <c r="J24" s="1" t="s">
        <v>113</v>
      </c>
      <c r="K24" s="1" t="s">
        <v>215</v>
      </c>
      <c r="L24" s="1" t="s">
        <v>206</v>
      </c>
      <c r="M24" s="2">
        <v>21.75</v>
      </c>
      <c r="N24" s="30">
        <v>3.6</v>
      </c>
      <c r="O24" s="30">
        <f>IF(ISNUMBER(SEARCH("IMS",PMS_Catalog[[#This Row],[WU Id]])),"IMS",PMS_Catalog[[#This Row],[UNIQUE PRICE per hour]]*PMS_Catalog[[#This Row],[PMS Effort (Hours)]])</f>
        <v>78.3</v>
      </c>
      <c r="P24" s="30">
        <v>10</v>
      </c>
      <c r="Q24" s="53" t="s">
        <v>88</v>
      </c>
      <c r="R24" s="1" t="s">
        <v>89</v>
      </c>
      <c r="S24" s="1"/>
      <c r="T24" s="31">
        <v>44768</v>
      </c>
      <c r="U24" s="1" t="s">
        <v>90</v>
      </c>
      <c r="V24" s="31">
        <v>44652</v>
      </c>
      <c r="W24" s="1">
        <f t="shared" ca="1" si="0"/>
        <v>4</v>
      </c>
      <c r="X24" s="1" cm="1">
        <f t="array" aca="1" ref="X24" ca="1">_xlfn.IFS(W23=1,8%,W23=2,10%,W23&gt;2,10%,W23&lt;1,0)</f>
        <v>0.1</v>
      </c>
      <c r="Y24" s="35">
        <f t="shared" ca="1" si="1"/>
        <v>70.47</v>
      </c>
      <c r="Z24" s="40"/>
      <c r="AA24" s="1" t="str">
        <f>LEFT(PMS_Catalog[[#This Row],[WU Id]],3)</f>
        <v>PMS</v>
      </c>
    </row>
    <row r="25" spans="1:27" ht="39" customHeight="1">
      <c r="A25" s="1" t="s">
        <v>216</v>
      </c>
      <c r="B25" s="1" t="s">
        <v>78</v>
      </c>
      <c r="C25" s="1" t="s">
        <v>131</v>
      </c>
      <c r="D25" s="1" t="s">
        <v>217</v>
      </c>
      <c r="E25" s="1" t="s">
        <v>218</v>
      </c>
      <c r="F25" s="11" t="s">
        <v>192</v>
      </c>
      <c r="G25" s="21" t="s">
        <v>219</v>
      </c>
      <c r="H25" s="21" t="s">
        <v>220</v>
      </c>
      <c r="I25" s="1" t="s">
        <v>221</v>
      </c>
      <c r="J25" s="1" t="s">
        <v>222</v>
      </c>
      <c r="K25" s="1" t="s">
        <v>223</v>
      </c>
      <c r="L25" s="1" t="s">
        <v>224</v>
      </c>
      <c r="M25" s="2">
        <v>21.75</v>
      </c>
      <c r="N25" s="30">
        <v>3.6</v>
      </c>
      <c r="O25" s="30">
        <f>IF(ISNUMBER(SEARCH("IMS",PMS_Catalog[[#This Row],[WU Id]])),"IMS",PMS_Catalog[[#This Row],[UNIQUE PRICE per hour]]*PMS_Catalog[[#This Row],[PMS Effort (Hours)]])</f>
        <v>78.3</v>
      </c>
      <c r="P25" s="30">
        <v>10</v>
      </c>
      <c r="Q25" s="53" t="s">
        <v>88</v>
      </c>
      <c r="R25" s="1" t="s">
        <v>89</v>
      </c>
      <c r="S25" s="1"/>
      <c r="T25" s="31">
        <v>44768</v>
      </c>
      <c r="U25" s="1" t="s">
        <v>90</v>
      </c>
      <c r="V25" s="31">
        <v>44652</v>
      </c>
      <c r="W25" s="1">
        <f t="shared" ca="1" si="0"/>
        <v>4</v>
      </c>
      <c r="X25" s="1" cm="1">
        <f t="array" aca="1" ref="X25" ca="1">_xlfn.IFS(W24=1,8%,W24=2,10%,W24&gt;2,10%,W24&lt;1,0)</f>
        <v>0.1</v>
      </c>
      <c r="Y25" s="35">
        <f t="shared" ca="1" si="1"/>
        <v>70.47</v>
      </c>
      <c r="Z25" s="40"/>
      <c r="AA25" s="1" t="str">
        <f>LEFT(PMS_Catalog[[#This Row],[WU Id]],3)</f>
        <v>PMS</v>
      </c>
    </row>
    <row r="26" spans="1:27" ht="39" customHeight="1">
      <c r="A26" s="1" t="s">
        <v>225</v>
      </c>
      <c r="B26" s="1" t="s">
        <v>78</v>
      </c>
      <c r="C26" s="1" t="s">
        <v>131</v>
      </c>
      <c r="D26" s="1" t="s">
        <v>217</v>
      </c>
      <c r="E26" s="1" t="s">
        <v>218</v>
      </c>
      <c r="F26" s="11" t="s">
        <v>192</v>
      </c>
      <c r="G26" s="21" t="s">
        <v>226</v>
      </c>
      <c r="H26" s="21" t="s">
        <v>227</v>
      </c>
      <c r="I26" s="1" t="s">
        <v>89</v>
      </c>
      <c r="J26" s="1" t="s">
        <v>89</v>
      </c>
      <c r="K26" s="1" t="s">
        <v>228</v>
      </c>
      <c r="L26" s="1" t="s">
        <v>197</v>
      </c>
      <c r="M26" s="2">
        <v>21.75</v>
      </c>
      <c r="N26" s="30">
        <v>9</v>
      </c>
      <c r="O26" s="30">
        <f>IF(ISNUMBER(SEARCH("IMS",PMS_Catalog[[#This Row],[WU Id]])),"IMS",PMS_Catalog[[#This Row],[UNIQUE PRICE per hour]]*PMS_Catalog[[#This Row],[PMS Effort (Hours)]])</f>
        <v>195.75</v>
      </c>
      <c r="P26" s="30">
        <v>10</v>
      </c>
      <c r="Q26" s="53" t="s">
        <v>88</v>
      </c>
      <c r="R26" s="1" t="s">
        <v>89</v>
      </c>
      <c r="S26" s="1"/>
      <c r="T26" s="31">
        <v>44768</v>
      </c>
      <c r="U26" s="1" t="s">
        <v>90</v>
      </c>
      <c r="V26" s="31">
        <v>44652</v>
      </c>
      <c r="W26" s="1">
        <f t="shared" ca="1" si="0"/>
        <v>4</v>
      </c>
      <c r="X26" s="1" cm="1">
        <f t="array" aca="1" ref="X26" ca="1">_xlfn.IFS(W25=1,8%,W25=2,10%,W25&gt;2,10%,W25&lt;1,0)</f>
        <v>0.1</v>
      </c>
      <c r="Y26" s="35">
        <f t="shared" ca="1" si="1"/>
        <v>176.17500000000001</v>
      </c>
      <c r="Z26" s="40"/>
      <c r="AA26" s="1" t="str">
        <f>LEFT(PMS_Catalog[[#This Row],[WU Id]],3)</f>
        <v>PMS</v>
      </c>
    </row>
    <row r="27" spans="1:27" ht="39" customHeight="1">
      <c r="A27" s="1" t="s">
        <v>229</v>
      </c>
      <c r="B27" s="1" t="s">
        <v>78</v>
      </c>
      <c r="C27" s="1" t="s">
        <v>92</v>
      </c>
      <c r="D27" s="1" t="s">
        <v>230</v>
      </c>
      <c r="E27" s="1" t="s">
        <v>231</v>
      </c>
      <c r="F27" s="11" t="s">
        <v>192</v>
      </c>
      <c r="G27" s="21" t="s">
        <v>232</v>
      </c>
      <c r="H27" s="21" t="s">
        <v>233</v>
      </c>
      <c r="I27" s="1" t="s">
        <v>89</v>
      </c>
      <c r="J27" s="1" t="s">
        <v>89</v>
      </c>
      <c r="K27" s="1" t="s">
        <v>234</v>
      </c>
      <c r="L27" s="1" t="s">
        <v>235</v>
      </c>
      <c r="M27" s="2">
        <v>21.75</v>
      </c>
      <c r="N27" s="30">
        <v>5.4</v>
      </c>
      <c r="O27" s="30">
        <f>IF(ISNUMBER(SEARCH("IMS",PMS_Catalog[[#This Row],[WU Id]])),"IMS",PMS_Catalog[[#This Row],[UNIQUE PRICE per hour]]*PMS_Catalog[[#This Row],[PMS Effort (Hours)]])</f>
        <v>117.45</v>
      </c>
      <c r="P27" s="30">
        <v>7</v>
      </c>
      <c r="Q27" s="53" t="s">
        <v>88</v>
      </c>
      <c r="R27" s="1" t="s">
        <v>89</v>
      </c>
      <c r="S27" s="1"/>
      <c r="T27" s="31">
        <v>44768</v>
      </c>
      <c r="U27" s="1" t="s">
        <v>90</v>
      </c>
      <c r="V27" s="31">
        <v>44652</v>
      </c>
      <c r="W27" s="1">
        <f t="shared" ca="1" si="0"/>
        <v>4</v>
      </c>
      <c r="X27" s="1" cm="1">
        <f t="array" aca="1" ref="X27" ca="1">_xlfn.IFS(W26=1,8%,W26=2,10%,W26&gt;2,10%,W26&lt;1,0)</f>
        <v>0.1</v>
      </c>
      <c r="Y27" s="35">
        <f t="shared" ca="1" si="1"/>
        <v>105.705</v>
      </c>
      <c r="Z27" s="40"/>
      <c r="AA27" s="1" t="str">
        <f>LEFT(PMS_Catalog[[#This Row],[WU Id]],3)</f>
        <v>PMS</v>
      </c>
    </row>
    <row r="28" spans="1:27" ht="39" customHeight="1">
      <c r="A28" s="1" t="s">
        <v>236</v>
      </c>
      <c r="B28" s="1" t="s">
        <v>78</v>
      </c>
      <c r="C28" s="1" t="s">
        <v>92</v>
      </c>
      <c r="D28" s="1" t="s">
        <v>230</v>
      </c>
      <c r="E28" s="1" t="s">
        <v>231</v>
      </c>
      <c r="F28" s="11" t="s">
        <v>192</v>
      </c>
      <c r="G28" s="21" t="s">
        <v>237</v>
      </c>
      <c r="H28" s="21" t="s">
        <v>238</v>
      </c>
      <c r="I28" s="1" t="s">
        <v>89</v>
      </c>
      <c r="J28" s="1" t="s">
        <v>89</v>
      </c>
      <c r="K28" s="1" t="s">
        <v>239</v>
      </c>
      <c r="L28" s="1" t="s">
        <v>240</v>
      </c>
      <c r="M28" s="2">
        <v>21.75</v>
      </c>
      <c r="N28" s="30">
        <v>4.5</v>
      </c>
      <c r="O28" s="30">
        <f>IF(ISNUMBER(SEARCH("IMS",PMS_Catalog[[#This Row],[WU Id]])),"IMS",PMS_Catalog[[#This Row],[UNIQUE PRICE per hour]]*PMS_Catalog[[#This Row],[PMS Effort (Hours)]])</f>
        <v>97.875</v>
      </c>
      <c r="P28" s="30">
        <v>7</v>
      </c>
      <c r="Q28" s="53" t="s">
        <v>88</v>
      </c>
      <c r="R28" s="1" t="s">
        <v>89</v>
      </c>
      <c r="S28" s="1"/>
      <c r="T28" s="31">
        <v>44768</v>
      </c>
      <c r="U28" s="1" t="s">
        <v>90</v>
      </c>
      <c r="V28" s="31">
        <v>44652</v>
      </c>
      <c r="W28" s="1">
        <f t="shared" ca="1" si="0"/>
        <v>4</v>
      </c>
      <c r="X28" s="1" cm="1">
        <f t="array" aca="1" ref="X28" ca="1">_xlfn.IFS(W27=1,8%,W27=2,10%,W27&gt;2,10%,W27&lt;1,0)</f>
        <v>0.1</v>
      </c>
      <c r="Y28" s="35">
        <f t="shared" ca="1" si="1"/>
        <v>88.087500000000006</v>
      </c>
      <c r="Z28" s="40"/>
      <c r="AA28" s="1" t="str">
        <f>LEFT(PMS_Catalog[[#This Row],[WU Id]],3)</f>
        <v>PMS</v>
      </c>
    </row>
    <row r="29" spans="1:27" ht="39" customHeight="1">
      <c r="A29" s="1" t="s">
        <v>241</v>
      </c>
      <c r="B29" s="1" t="s">
        <v>78</v>
      </c>
      <c r="C29" s="1" t="s">
        <v>92</v>
      </c>
      <c r="D29" s="1" t="s">
        <v>242</v>
      </c>
      <c r="E29" s="1" t="s">
        <v>243</v>
      </c>
      <c r="F29" s="11" t="s">
        <v>192</v>
      </c>
      <c r="G29" s="21" t="s">
        <v>244</v>
      </c>
      <c r="H29" s="21" t="s">
        <v>245</v>
      </c>
      <c r="I29" s="1" t="s">
        <v>89</v>
      </c>
      <c r="J29" s="1" t="s">
        <v>89</v>
      </c>
      <c r="K29" s="1" t="s">
        <v>228</v>
      </c>
      <c r="L29" s="1" t="s">
        <v>246</v>
      </c>
      <c r="M29" s="2">
        <v>21.75</v>
      </c>
      <c r="N29" s="30">
        <v>10.8</v>
      </c>
      <c r="O29" s="30">
        <f>IF(ISNUMBER(SEARCH("IMS",PMS_Catalog[[#This Row],[WU Id]])),"IMS",PMS_Catalog[[#This Row],[UNIQUE PRICE per hour]]*PMS_Catalog[[#This Row],[PMS Effort (Hours)]])</f>
        <v>234.9</v>
      </c>
      <c r="P29" s="30">
        <v>12</v>
      </c>
      <c r="Q29" s="53" t="s">
        <v>88</v>
      </c>
      <c r="R29" s="1" t="s">
        <v>89</v>
      </c>
      <c r="S29" s="1"/>
      <c r="T29" s="31">
        <v>44768</v>
      </c>
      <c r="U29" s="1" t="s">
        <v>90</v>
      </c>
      <c r="V29" s="31">
        <v>44652</v>
      </c>
      <c r="W29" s="1">
        <f t="shared" ca="1" si="0"/>
        <v>4</v>
      </c>
      <c r="X29" s="1" cm="1">
        <f t="array" aca="1" ref="X29" ca="1">_xlfn.IFS(W28=1,8%,W28=2,10%,W28&gt;2,10%,W28&lt;1,0)</f>
        <v>0.1</v>
      </c>
      <c r="Y29" s="35">
        <f t="shared" ca="1" si="1"/>
        <v>211.41</v>
      </c>
      <c r="Z29" s="40"/>
      <c r="AA29" s="1" t="str">
        <f>LEFT(PMS_Catalog[[#This Row],[WU Id]],3)</f>
        <v>PMS</v>
      </c>
    </row>
    <row r="30" spans="1:27" ht="39" customHeight="1">
      <c r="A30" s="1" t="s">
        <v>247</v>
      </c>
      <c r="B30" s="1" t="s">
        <v>78</v>
      </c>
      <c r="C30" s="1" t="s">
        <v>248</v>
      </c>
      <c r="D30" s="1" t="s">
        <v>249</v>
      </c>
      <c r="E30" s="1" t="s">
        <v>249</v>
      </c>
      <c r="F30" s="11" t="s">
        <v>192</v>
      </c>
      <c r="G30" s="21" t="s">
        <v>250</v>
      </c>
      <c r="H30" s="21" t="s">
        <v>251</v>
      </c>
      <c r="I30" s="1" t="s">
        <v>89</v>
      </c>
      <c r="J30" s="1" t="s">
        <v>89</v>
      </c>
      <c r="K30" s="1" t="s">
        <v>89</v>
      </c>
      <c r="L30" s="1" t="s">
        <v>246</v>
      </c>
      <c r="M30" s="2">
        <v>21.75</v>
      </c>
      <c r="N30" s="30">
        <v>32.4</v>
      </c>
      <c r="O30" s="30">
        <f>IF(ISNUMBER(SEARCH("IMS",PMS_Catalog[[#This Row],[WU Id]])),"IMS",PMS_Catalog[[#This Row],[UNIQUE PRICE per hour]]*PMS_Catalog[[#This Row],[PMS Effort (Hours)]])</f>
        <v>704.69999999999993</v>
      </c>
      <c r="P30" s="30">
        <v>4</v>
      </c>
      <c r="Q30" s="53" t="s">
        <v>88</v>
      </c>
      <c r="R30" s="1" t="s">
        <v>89</v>
      </c>
      <c r="S30" s="1"/>
      <c r="T30" s="31">
        <v>44768</v>
      </c>
      <c r="U30" s="1" t="s">
        <v>90</v>
      </c>
      <c r="V30" s="31">
        <v>44652</v>
      </c>
      <c r="W30" s="1">
        <f t="shared" ca="1" si="0"/>
        <v>4</v>
      </c>
      <c r="X30" s="1" cm="1">
        <f t="array" aca="1" ref="X30" ca="1">_xlfn.IFS(W29=1,8%,W29=2,10%,W29&gt;2,10%,W29&lt;1,0)</f>
        <v>0.1</v>
      </c>
      <c r="Y30" s="35">
        <f t="shared" ca="1" si="1"/>
        <v>634.2299999999999</v>
      </c>
      <c r="Z30" s="40"/>
      <c r="AA30" s="1" t="str">
        <f>LEFT(PMS_Catalog[[#This Row],[WU Id]],3)</f>
        <v>PMS</v>
      </c>
    </row>
    <row r="31" spans="1:27" ht="39" customHeight="1">
      <c r="A31" s="1" t="s">
        <v>252</v>
      </c>
      <c r="B31" s="1" t="s">
        <v>78</v>
      </c>
      <c r="C31" s="1" t="s">
        <v>131</v>
      </c>
      <c r="D31" s="1" t="s">
        <v>170</v>
      </c>
      <c r="E31" s="1" t="s">
        <v>253</v>
      </c>
      <c r="F31" s="12" t="s">
        <v>192</v>
      </c>
      <c r="G31" s="21" t="s">
        <v>254</v>
      </c>
      <c r="H31" s="21" t="s">
        <v>255</v>
      </c>
      <c r="I31" s="1" t="s">
        <v>256</v>
      </c>
      <c r="J31" s="1" t="s">
        <v>257</v>
      </c>
      <c r="K31" s="1" t="s">
        <v>258</v>
      </c>
      <c r="L31" s="1" t="s">
        <v>259</v>
      </c>
      <c r="M31" s="2">
        <v>21.75</v>
      </c>
      <c r="N31" s="30">
        <v>1.8</v>
      </c>
      <c r="O31" s="30">
        <f>IF(ISNUMBER(SEARCH("IMS",PMS_Catalog[[#This Row],[WU Id]])),"IMS",PMS_Catalog[[#This Row],[UNIQUE PRICE per hour]]*PMS_Catalog[[#This Row],[PMS Effort (Hours)]])</f>
        <v>39.15</v>
      </c>
      <c r="P31" s="30">
        <v>7</v>
      </c>
      <c r="Q31" s="53" t="s">
        <v>88</v>
      </c>
      <c r="R31" s="1" t="s">
        <v>89</v>
      </c>
      <c r="S31" s="1" t="s">
        <v>260</v>
      </c>
      <c r="T31" s="31">
        <v>44768</v>
      </c>
      <c r="U31" s="1" t="s">
        <v>90</v>
      </c>
      <c r="V31" s="31">
        <v>44652</v>
      </c>
      <c r="W31" s="1">
        <f t="shared" ca="1" si="0"/>
        <v>4</v>
      </c>
      <c r="X31" s="1" cm="1">
        <f t="array" aca="1" ref="X31" ca="1">_xlfn.IFS(W30=1,8%,W30=2,10%,W30&gt;2,10%,W30&lt;1,0)</f>
        <v>0.1</v>
      </c>
      <c r="Y31" s="35">
        <f t="shared" ca="1" si="1"/>
        <v>35.234999999999999</v>
      </c>
      <c r="Z31" s="40"/>
      <c r="AA31" s="1" t="str">
        <f>LEFT(PMS_Catalog[[#This Row],[WU Id]],3)</f>
        <v>PMS</v>
      </c>
    </row>
    <row r="32" spans="1:27" ht="39" customHeight="1">
      <c r="A32" s="1" t="s">
        <v>261</v>
      </c>
      <c r="B32" s="1" t="s">
        <v>78</v>
      </c>
      <c r="C32" s="1" t="s">
        <v>92</v>
      </c>
      <c r="D32" s="1" t="s">
        <v>170</v>
      </c>
      <c r="E32" s="1" t="s">
        <v>262</v>
      </c>
      <c r="F32" s="12" t="s">
        <v>192</v>
      </c>
      <c r="G32" s="21" t="s">
        <v>263</v>
      </c>
      <c r="H32" s="21" t="s">
        <v>264</v>
      </c>
      <c r="I32" s="1" t="s">
        <v>89</v>
      </c>
      <c r="J32" s="1" t="s">
        <v>89</v>
      </c>
      <c r="K32" s="1" t="s">
        <v>265</v>
      </c>
      <c r="L32" s="1" t="s">
        <v>266</v>
      </c>
      <c r="M32" s="2">
        <v>21.75</v>
      </c>
      <c r="N32" s="30">
        <v>5.5</v>
      </c>
      <c r="O32" s="30">
        <f>IF(ISNUMBER(SEARCH("IMS",PMS_Catalog[[#This Row],[WU Id]])),"IMS",PMS_Catalog[[#This Row],[UNIQUE PRICE per hour]]*PMS_Catalog[[#This Row],[PMS Effort (Hours)]])</f>
        <v>119.625</v>
      </c>
      <c r="P32" s="30">
        <v>5</v>
      </c>
      <c r="Q32" s="53" t="s">
        <v>88</v>
      </c>
      <c r="R32" s="1" t="s">
        <v>89</v>
      </c>
      <c r="S32" s="1" t="s">
        <v>267</v>
      </c>
      <c r="T32" s="31">
        <v>44768</v>
      </c>
      <c r="U32" s="1" t="s">
        <v>90</v>
      </c>
      <c r="V32" s="31">
        <v>44652</v>
      </c>
      <c r="W32" s="1">
        <f t="shared" ca="1" si="0"/>
        <v>4</v>
      </c>
      <c r="X32" s="1" cm="1">
        <f t="array" aca="1" ref="X32" ca="1">_xlfn.IFS(W31=1,8%,W31=2,10%,W31&gt;2,10%,W31&lt;1,0)</f>
        <v>0.1</v>
      </c>
      <c r="Y32" s="35">
        <f t="shared" ca="1" si="1"/>
        <v>107.66249999999999</v>
      </c>
      <c r="Z32" s="40"/>
      <c r="AA32" s="1" t="str">
        <f>LEFT(PMS_Catalog[[#This Row],[WU Id]],3)</f>
        <v>PMS</v>
      </c>
    </row>
    <row r="33" spans="1:27" ht="39" customHeight="1">
      <c r="A33" s="1" t="s">
        <v>268</v>
      </c>
      <c r="B33" s="1" t="s">
        <v>78</v>
      </c>
      <c r="C33" s="1" t="s">
        <v>131</v>
      </c>
      <c r="D33" s="1" t="s">
        <v>269</v>
      </c>
      <c r="E33" s="1" t="s">
        <v>270</v>
      </c>
      <c r="F33" s="12" t="s">
        <v>192</v>
      </c>
      <c r="G33" s="21" t="s">
        <v>271</v>
      </c>
      <c r="H33" s="21" t="s">
        <v>272</v>
      </c>
      <c r="I33" s="1" t="s">
        <v>256</v>
      </c>
      <c r="J33" s="1" t="s">
        <v>257</v>
      </c>
      <c r="K33" s="1" t="s">
        <v>273</v>
      </c>
      <c r="L33" s="1" t="s">
        <v>259</v>
      </c>
      <c r="M33" s="2">
        <v>21.75</v>
      </c>
      <c r="N33" s="30">
        <v>1.8</v>
      </c>
      <c r="O33" s="30">
        <f>IF(ISNUMBER(SEARCH("IMS",PMS_Catalog[[#This Row],[WU Id]])),"IMS",PMS_Catalog[[#This Row],[UNIQUE PRICE per hour]]*PMS_Catalog[[#This Row],[PMS Effort (Hours)]])</f>
        <v>39.15</v>
      </c>
      <c r="P33" s="30">
        <v>7</v>
      </c>
      <c r="Q33" s="53" t="s">
        <v>88</v>
      </c>
      <c r="R33" s="1" t="s">
        <v>89</v>
      </c>
      <c r="S33" s="1"/>
      <c r="T33" s="31">
        <v>44768</v>
      </c>
      <c r="U33" s="1" t="s">
        <v>90</v>
      </c>
      <c r="V33" s="31">
        <v>44652</v>
      </c>
      <c r="W33" s="1">
        <f t="shared" ca="1" si="0"/>
        <v>4</v>
      </c>
      <c r="X33" s="1" cm="1">
        <f t="array" aca="1" ref="X33" ca="1">_xlfn.IFS(W32=1,8%,W32=2,10%,W32&gt;2,10%,W32&lt;1,0)</f>
        <v>0.1</v>
      </c>
      <c r="Y33" s="35">
        <f t="shared" ca="1" si="1"/>
        <v>35.234999999999999</v>
      </c>
      <c r="Z33" s="40"/>
      <c r="AA33" s="1" t="str">
        <f>LEFT(PMS_Catalog[[#This Row],[WU Id]],3)</f>
        <v>PMS</v>
      </c>
    </row>
    <row r="34" spans="1:27" ht="39" customHeight="1">
      <c r="A34" s="1" t="s">
        <v>274</v>
      </c>
      <c r="B34" s="1" t="s">
        <v>78</v>
      </c>
      <c r="C34" s="4" t="s">
        <v>79</v>
      </c>
      <c r="D34" s="1" t="s">
        <v>80</v>
      </c>
      <c r="E34" s="1" t="s">
        <v>80</v>
      </c>
      <c r="F34" s="11" t="s">
        <v>192</v>
      </c>
      <c r="G34" s="21" t="s">
        <v>275</v>
      </c>
      <c r="H34" s="21" t="s">
        <v>276</v>
      </c>
      <c r="I34" s="1" t="s">
        <v>89</v>
      </c>
      <c r="J34" s="1" t="s">
        <v>89</v>
      </c>
      <c r="K34" s="1" t="s">
        <v>89</v>
      </c>
      <c r="L34" s="1" t="s">
        <v>277</v>
      </c>
      <c r="M34" s="2">
        <v>21.75</v>
      </c>
      <c r="N34" s="30">
        <v>1.5</v>
      </c>
      <c r="O34" s="30">
        <f>IF(ISNUMBER(SEARCH("IMS",PMS_Catalog[[#This Row],[WU Id]])),"IMS",PMS_Catalog[[#This Row],[UNIQUE PRICE per hour]]*PMS_Catalog[[#This Row],[PMS Effort (Hours)]])</f>
        <v>32.625</v>
      </c>
      <c r="P34" s="30">
        <v>3</v>
      </c>
      <c r="Q34" s="53" t="s">
        <v>88</v>
      </c>
      <c r="R34" s="1" t="s">
        <v>89</v>
      </c>
      <c r="S34" s="1"/>
      <c r="T34" s="31">
        <v>45086</v>
      </c>
      <c r="U34" s="1" t="s">
        <v>278</v>
      </c>
      <c r="V34" s="31">
        <v>45086</v>
      </c>
      <c r="W34" s="1">
        <f t="shared" ca="1" si="0"/>
        <v>3</v>
      </c>
      <c r="X34" s="1" cm="1">
        <f t="array" aca="1" ref="X34" ca="1">_xlfn.IFS(W33=1,8%,W33=2,10%,W33&gt;2,10%,W33&lt;1,0)</f>
        <v>0.1</v>
      </c>
      <c r="Y34" s="35">
        <f t="shared" ca="1" si="1"/>
        <v>29.362500000000001</v>
      </c>
      <c r="Z34" s="40"/>
      <c r="AA34" s="1" t="str">
        <f>LEFT(PMS_Catalog[[#This Row],[WU Id]],3)</f>
        <v>PMS</v>
      </c>
    </row>
    <row r="35" spans="1:27" ht="39" customHeight="1">
      <c r="A35" s="1" t="s">
        <v>279</v>
      </c>
      <c r="B35" s="1" t="s">
        <v>78</v>
      </c>
      <c r="C35" s="4" t="s">
        <v>79</v>
      </c>
      <c r="D35" s="1" t="s">
        <v>80</v>
      </c>
      <c r="E35" s="1" t="s">
        <v>80</v>
      </c>
      <c r="F35" s="11" t="s">
        <v>280</v>
      </c>
      <c r="G35" s="21" t="s">
        <v>281</v>
      </c>
      <c r="H35" s="21" t="s">
        <v>282</v>
      </c>
      <c r="I35" s="1" t="s">
        <v>89</v>
      </c>
      <c r="J35" s="1" t="s">
        <v>89</v>
      </c>
      <c r="K35" s="1" t="s">
        <v>89</v>
      </c>
      <c r="L35" s="1" t="s">
        <v>283</v>
      </c>
      <c r="M35" s="2">
        <v>21.75</v>
      </c>
      <c r="N35" s="30">
        <v>2</v>
      </c>
      <c r="O35" s="30">
        <f>IF(ISNUMBER(SEARCH("IMS",PMS_Catalog[[#This Row],[WU Id]])),"IMS",PMS_Catalog[[#This Row],[UNIQUE PRICE per hour]]*PMS_Catalog[[#This Row],[PMS Effort (Hours)]])</f>
        <v>43.5</v>
      </c>
      <c r="P35" s="30">
        <v>3</v>
      </c>
      <c r="Q35" s="53" t="s">
        <v>88</v>
      </c>
      <c r="R35" s="1" t="s">
        <v>89</v>
      </c>
      <c r="S35" s="1"/>
      <c r="T35" s="31">
        <v>45086</v>
      </c>
      <c r="U35" s="1" t="s">
        <v>278</v>
      </c>
      <c r="V35" s="31">
        <v>45086</v>
      </c>
      <c r="W35" s="1">
        <f t="shared" ca="1" si="0"/>
        <v>3</v>
      </c>
      <c r="X35" s="1" cm="1">
        <f t="array" aca="1" ref="X35" ca="1">_xlfn.IFS(W34=1,8%,W34=2,10%,W34&gt;2,10%,W34&lt;1,0)</f>
        <v>0.1</v>
      </c>
      <c r="Y35" s="35">
        <f t="shared" ca="1" si="1"/>
        <v>39.15</v>
      </c>
      <c r="Z35" s="40"/>
      <c r="AA35" s="1" t="str">
        <f>LEFT(PMS_Catalog[[#This Row],[WU Id]],3)</f>
        <v>PMS</v>
      </c>
    </row>
    <row r="36" spans="1:27" ht="39" customHeight="1">
      <c r="A36" s="1" t="s">
        <v>284</v>
      </c>
      <c r="B36" s="1" t="s">
        <v>78</v>
      </c>
      <c r="C36" s="4" t="s">
        <v>79</v>
      </c>
      <c r="D36" s="1" t="s">
        <v>80</v>
      </c>
      <c r="E36" s="1" t="s">
        <v>80</v>
      </c>
      <c r="F36" s="11" t="s">
        <v>140</v>
      </c>
      <c r="G36" s="21" t="s">
        <v>285</v>
      </c>
      <c r="H36" s="21" t="s">
        <v>286</v>
      </c>
      <c r="I36" s="1" t="s">
        <v>89</v>
      </c>
      <c r="J36" s="1" t="s">
        <v>89</v>
      </c>
      <c r="K36" s="1" t="s">
        <v>89</v>
      </c>
      <c r="L36" s="1" t="s">
        <v>277</v>
      </c>
      <c r="M36" s="2">
        <v>21.75</v>
      </c>
      <c r="N36" s="30">
        <v>1</v>
      </c>
      <c r="O36" s="30">
        <f>IF(ISNUMBER(SEARCH("IMS",PMS_Catalog[[#This Row],[WU Id]])),"IMS",PMS_Catalog[[#This Row],[UNIQUE PRICE per hour]]*PMS_Catalog[[#This Row],[PMS Effort (Hours)]])</f>
        <v>21.75</v>
      </c>
      <c r="P36" s="30">
        <v>28</v>
      </c>
      <c r="Q36" s="53" t="s">
        <v>88</v>
      </c>
      <c r="R36" s="1" t="s">
        <v>89</v>
      </c>
      <c r="S36" s="1"/>
      <c r="T36" s="31">
        <v>44768</v>
      </c>
      <c r="U36" s="1" t="s">
        <v>90</v>
      </c>
      <c r="V36" s="31">
        <v>44652</v>
      </c>
      <c r="W36" s="1">
        <f t="shared" ca="1" si="0"/>
        <v>4</v>
      </c>
      <c r="X36" s="1" cm="1">
        <f t="array" aca="1" ref="X36" ca="1">_xlfn.IFS(W35=1,8%,W35=2,10%,W35&gt;2,10%,W35&lt;1,0)</f>
        <v>0.1</v>
      </c>
      <c r="Y36" s="35">
        <f t="shared" ca="1" si="1"/>
        <v>19.574999999999999</v>
      </c>
      <c r="Z36" s="40"/>
      <c r="AA36" s="1" t="str">
        <f>LEFT(PMS_Catalog[[#This Row],[WU Id]],3)</f>
        <v>PMS</v>
      </c>
    </row>
    <row r="37" spans="1:27" ht="39" customHeight="1">
      <c r="A37" s="1" t="s">
        <v>287</v>
      </c>
      <c r="B37" s="1" t="s">
        <v>78</v>
      </c>
      <c r="C37" s="1" t="s">
        <v>92</v>
      </c>
      <c r="D37" s="1" t="s">
        <v>288</v>
      </c>
      <c r="E37" s="1" t="s">
        <v>289</v>
      </c>
      <c r="F37" s="11" t="s">
        <v>192</v>
      </c>
      <c r="G37" s="21" t="s">
        <v>290</v>
      </c>
      <c r="H37" s="21" t="s">
        <v>291</v>
      </c>
      <c r="I37" s="1" t="s">
        <v>292</v>
      </c>
      <c r="J37" s="1" t="s">
        <v>293</v>
      </c>
      <c r="K37" s="1" t="s">
        <v>294</v>
      </c>
      <c r="L37" s="1" t="s">
        <v>277</v>
      </c>
      <c r="M37" s="2">
        <v>21.75</v>
      </c>
      <c r="N37" s="30">
        <v>22.099999999999998</v>
      </c>
      <c r="O37" s="30">
        <f>IF(ISNUMBER(SEARCH("IMS",PMS_Catalog[[#This Row],[WU Id]])),"IMS",PMS_Catalog[[#This Row],[UNIQUE PRICE per hour]]*PMS_Catalog[[#This Row],[PMS Effort (Hours)]])</f>
        <v>480.67499999999995</v>
      </c>
      <c r="P37" s="30">
        <v>15</v>
      </c>
      <c r="Q37" s="53" t="s">
        <v>88</v>
      </c>
      <c r="R37" s="1" t="s">
        <v>89</v>
      </c>
      <c r="S37" s="1"/>
      <c r="T37" s="31">
        <v>44768</v>
      </c>
      <c r="U37" s="1" t="s">
        <v>90</v>
      </c>
      <c r="V37" s="31">
        <v>44652</v>
      </c>
      <c r="W37" s="1">
        <f t="shared" ca="1" si="0"/>
        <v>4</v>
      </c>
      <c r="X37" s="1" cm="1">
        <f t="array" aca="1" ref="X37" ca="1">_xlfn.IFS(W36=1,8%,W36=2,10%,W36&gt;2,10%,W36&lt;1,0)</f>
        <v>0.1</v>
      </c>
      <c r="Y37" s="35">
        <f t="shared" ca="1" si="1"/>
        <v>432.60749999999996</v>
      </c>
      <c r="Z37" s="40"/>
      <c r="AA37" s="1" t="str">
        <f>LEFT(PMS_Catalog[[#This Row],[WU Id]],3)</f>
        <v>PMS</v>
      </c>
    </row>
    <row r="38" spans="1:27" ht="39" customHeight="1">
      <c r="A38" s="1" t="s">
        <v>295</v>
      </c>
      <c r="B38" s="1" t="s">
        <v>78</v>
      </c>
      <c r="C38" s="1" t="s">
        <v>131</v>
      </c>
      <c r="D38" s="1" t="s">
        <v>296</v>
      </c>
      <c r="E38" s="1" t="s">
        <v>231</v>
      </c>
      <c r="F38" s="11" t="s">
        <v>192</v>
      </c>
      <c r="G38" s="21" t="s">
        <v>232</v>
      </c>
      <c r="H38" s="21" t="s">
        <v>297</v>
      </c>
      <c r="I38" s="1" t="s">
        <v>89</v>
      </c>
      <c r="J38" s="1" t="s">
        <v>89</v>
      </c>
      <c r="K38" s="1" t="s">
        <v>234</v>
      </c>
      <c r="L38" s="1" t="s">
        <v>235</v>
      </c>
      <c r="M38" s="2">
        <v>21.75</v>
      </c>
      <c r="N38" s="30">
        <v>5.0999999999999996</v>
      </c>
      <c r="O38" s="30">
        <f>IF(ISNUMBER(SEARCH("IMS",PMS_Catalog[[#This Row],[WU Id]])),"IMS",PMS_Catalog[[#This Row],[UNIQUE PRICE per hour]]*PMS_Catalog[[#This Row],[PMS Effort (Hours)]])</f>
        <v>110.925</v>
      </c>
      <c r="P38" s="30">
        <v>7</v>
      </c>
      <c r="Q38" s="53" t="s">
        <v>88</v>
      </c>
      <c r="R38" s="1" t="s">
        <v>89</v>
      </c>
      <c r="S38" s="1"/>
      <c r="T38" s="31">
        <v>44768</v>
      </c>
      <c r="U38" s="1" t="s">
        <v>90</v>
      </c>
      <c r="V38" s="31">
        <v>44652</v>
      </c>
      <c r="W38" s="1">
        <f t="shared" ca="1" si="0"/>
        <v>4</v>
      </c>
      <c r="X38" s="1" cm="1">
        <f t="array" aca="1" ref="X38" ca="1">_xlfn.IFS(W37=1,8%,W37=2,10%,W37&gt;2,10%,W37&lt;1,0)</f>
        <v>0.1</v>
      </c>
      <c r="Y38" s="35">
        <f t="shared" ca="1" si="1"/>
        <v>99.832499999999996</v>
      </c>
      <c r="Z38" s="40"/>
      <c r="AA38" s="1" t="str">
        <f>LEFT(PMS_Catalog[[#This Row],[WU Id]],3)</f>
        <v>PMS</v>
      </c>
    </row>
    <row r="39" spans="1:27" ht="39" customHeight="1">
      <c r="A39" s="1" t="s">
        <v>298</v>
      </c>
      <c r="B39" s="1" t="s">
        <v>78</v>
      </c>
      <c r="C39" s="1" t="s">
        <v>131</v>
      </c>
      <c r="D39" s="1" t="s">
        <v>296</v>
      </c>
      <c r="E39" s="1" t="s">
        <v>231</v>
      </c>
      <c r="F39" s="11" t="s">
        <v>192</v>
      </c>
      <c r="G39" s="21" t="s">
        <v>237</v>
      </c>
      <c r="H39" s="21" t="s">
        <v>299</v>
      </c>
      <c r="I39" s="1" t="s">
        <v>89</v>
      </c>
      <c r="J39" s="1" t="s">
        <v>89</v>
      </c>
      <c r="K39" s="1" t="s">
        <v>239</v>
      </c>
      <c r="L39" s="1" t="s">
        <v>240</v>
      </c>
      <c r="M39" s="2">
        <v>21.75</v>
      </c>
      <c r="N39" s="30">
        <v>5.0999999999999996</v>
      </c>
      <c r="O39" s="30">
        <f>IF(ISNUMBER(SEARCH("IMS",PMS_Catalog[[#This Row],[WU Id]])),"IMS",PMS_Catalog[[#This Row],[UNIQUE PRICE per hour]]*PMS_Catalog[[#This Row],[PMS Effort (Hours)]])</f>
        <v>110.925</v>
      </c>
      <c r="P39" s="30">
        <v>7</v>
      </c>
      <c r="Q39" s="53" t="s">
        <v>88</v>
      </c>
      <c r="R39" s="1" t="s">
        <v>89</v>
      </c>
      <c r="S39" s="1"/>
      <c r="T39" s="31">
        <v>44768</v>
      </c>
      <c r="U39" s="1" t="s">
        <v>90</v>
      </c>
      <c r="V39" s="31">
        <v>44652</v>
      </c>
      <c r="W39" s="1">
        <f t="shared" ca="1" si="0"/>
        <v>4</v>
      </c>
      <c r="X39" s="1" cm="1">
        <f t="array" aca="1" ref="X39" ca="1">_xlfn.IFS(W38=1,8%,W38=2,10%,W38&gt;2,10%,W38&lt;1,0)</f>
        <v>0.1</v>
      </c>
      <c r="Y39" s="35">
        <f t="shared" ca="1" si="1"/>
        <v>99.832499999999996</v>
      </c>
      <c r="Z39" s="40"/>
      <c r="AA39" s="1" t="str">
        <f>LEFT(PMS_Catalog[[#This Row],[WU Id]],3)</f>
        <v>PMS</v>
      </c>
    </row>
    <row r="40" spans="1:27" ht="39" customHeight="1">
      <c r="A40" s="1" t="s">
        <v>300</v>
      </c>
      <c r="B40" s="1" t="s">
        <v>78</v>
      </c>
      <c r="C40" s="1" t="s">
        <v>131</v>
      </c>
      <c r="D40" s="1" t="s">
        <v>296</v>
      </c>
      <c r="E40" s="1" t="s">
        <v>231</v>
      </c>
      <c r="F40" s="11" t="s">
        <v>192</v>
      </c>
      <c r="G40" s="21" t="s">
        <v>301</v>
      </c>
      <c r="H40" s="21" t="s">
        <v>302</v>
      </c>
      <c r="I40" s="1" t="s">
        <v>89</v>
      </c>
      <c r="J40" s="1" t="s">
        <v>89</v>
      </c>
      <c r="K40" s="1" t="s">
        <v>89</v>
      </c>
      <c r="L40" s="1" t="s">
        <v>246</v>
      </c>
      <c r="M40" s="2">
        <v>21.75</v>
      </c>
      <c r="N40" s="30">
        <v>6.8</v>
      </c>
      <c r="O40" s="30">
        <f>IF(ISNUMBER(SEARCH("IMS",PMS_Catalog[[#This Row],[WU Id]])),"IMS",PMS_Catalog[[#This Row],[UNIQUE PRICE per hour]]*PMS_Catalog[[#This Row],[PMS Effort (Hours)]])</f>
        <v>147.9</v>
      </c>
      <c r="P40" s="30">
        <v>10</v>
      </c>
      <c r="Q40" s="53" t="s">
        <v>88</v>
      </c>
      <c r="R40" s="1" t="s">
        <v>89</v>
      </c>
      <c r="S40" s="1"/>
      <c r="T40" s="31">
        <v>44768</v>
      </c>
      <c r="U40" s="1" t="s">
        <v>90</v>
      </c>
      <c r="V40" s="31">
        <v>44652</v>
      </c>
      <c r="W40" s="1">
        <f t="shared" ca="1" si="0"/>
        <v>4</v>
      </c>
      <c r="X40" s="1" cm="1">
        <f t="array" aca="1" ref="X40" ca="1">_xlfn.IFS(W39=1,8%,W39=2,10%,W39&gt;2,10%,W39&lt;1,0)</f>
        <v>0.1</v>
      </c>
      <c r="Y40" s="35">
        <f t="shared" ca="1" si="1"/>
        <v>133.11000000000001</v>
      </c>
      <c r="Z40" s="40"/>
      <c r="AA40" s="1" t="str">
        <f>LEFT(PMS_Catalog[[#This Row],[WU Id]],3)</f>
        <v>PMS</v>
      </c>
    </row>
    <row r="41" spans="1:27" ht="39" customHeight="1">
      <c r="A41" s="1" t="s">
        <v>303</v>
      </c>
      <c r="B41" s="1" t="s">
        <v>78</v>
      </c>
      <c r="C41" s="1" t="s">
        <v>131</v>
      </c>
      <c r="D41" s="1" t="s">
        <v>296</v>
      </c>
      <c r="E41" s="1" t="s">
        <v>231</v>
      </c>
      <c r="F41" s="11" t="s">
        <v>192</v>
      </c>
      <c r="G41" s="21" t="s">
        <v>244</v>
      </c>
      <c r="H41" s="21" t="s">
        <v>304</v>
      </c>
      <c r="I41" s="1" t="s">
        <v>89</v>
      </c>
      <c r="J41" s="1" t="s">
        <v>89</v>
      </c>
      <c r="K41" s="1" t="s">
        <v>89</v>
      </c>
      <c r="L41" s="1" t="s">
        <v>246</v>
      </c>
      <c r="M41" s="2">
        <v>21.75</v>
      </c>
      <c r="N41" s="30">
        <v>6.8</v>
      </c>
      <c r="O41" s="30">
        <f>IF(ISNUMBER(SEARCH("IMS",PMS_Catalog[[#This Row],[WU Id]])),"IMS",PMS_Catalog[[#This Row],[UNIQUE PRICE per hour]]*PMS_Catalog[[#This Row],[PMS Effort (Hours)]])</f>
        <v>147.9</v>
      </c>
      <c r="P41" s="30">
        <v>12</v>
      </c>
      <c r="Q41" s="53" t="s">
        <v>88</v>
      </c>
      <c r="R41" s="1" t="s">
        <v>89</v>
      </c>
      <c r="S41" s="1"/>
      <c r="T41" s="31">
        <v>44768</v>
      </c>
      <c r="U41" s="1" t="s">
        <v>90</v>
      </c>
      <c r="V41" s="31">
        <v>44652</v>
      </c>
      <c r="W41" s="1">
        <f t="shared" ca="1" si="0"/>
        <v>4</v>
      </c>
      <c r="X41" s="1" cm="1">
        <f t="array" aca="1" ref="X41" ca="1">_xlfn.IFS(W40=1,8%,W40=2,10%,W40&gt;2,10%,W40&lt;1,0)</f>
        <v>0.1</v>
      </c>
      <c r="Y41" s="35">
        <f t="shared" ca="1" si="1"/>
        <v>133.11000000000001</v>
      </c>
      <c r="Z41" s="40"/>
      <c r="AA41" s="1" t="str">
        <f>LEFT(PMS_Catalog[[#This Row],[WU Id]],3)</f>
        <v>PMS</v>
      </c>
    </row>
    <row r="42" spans="1:27" ht="39" customHeight="1">
      <c r="A42" s="1" t="s">
        <v>305</v>
      </c>
      <c r="B42" s="1" t="s">
        <v>78</v>
      </c>
      <c r="C42" s="1" t="s">
        <v>92</v>
      </c>
      <c r="D42" s="1" t="s">
        <v>306</v>
      </c>
      <c r="E42" s="1" t="s">
        <v>306</v>
      </c>
      <c r="F42" s="11" t="s">
        <v>192</v>
      </c>
      <c r="G42" s="21" t="s">
        <v>307</v>
      </c>
      <c r="H42" s="21" t="s">
        <v>308</v>
      </c>
      <c r="I42" s="1" t="s">
        <v>309</v>
      </c>
      <c r="J42" s="1" t="s">
        <v>310</v>
      </c>
      <c r="K42" s="1" t="s">
        <v>89</v>
      </c>
      <c r="L42" s="1" t="s">
        <v>87</v>
      </c>
      <c r="M42" s="2">
        <v>21.75</v>
      </c>
      <c r="N42" s="30">
        <v>5</v>
      </c>
      <c r="O42" s="30">
        <f>IF(ISNUMBER(SEARCH("IMS",PMS_Catalog[[#This Row],[WU Id]])),"IMS",PMS_Catalog[[#This Row],[UNIQUE PRICE per hour]]*PMS_Catalog[[#This Row],[PMS Effort (Hours)]])</f>
        <v>108.75</v>
      </c>
      <c r="P42" s="30">
        <v>7</v>
      </c>
      <c r="Q42" s="53" t="s">
        <v>88</v>
      </c>
      <c r="R42" s="1" t="s">
        <v>89</v>
      </c>
      <c r="S42" s="1"/>
      <c r="T42" s="31">
        <v>44768</v>
      </c>
      <c r="U42" s="1" t="s">
        <v>90</v>
      </c>
      <c r="V42" s="31">
        <v>44652</v>
      </c>
      <c r="W42" s="1">
        <f t="shared" ca="1" si="0"/>
        <v>4</v>
      </c>
      <c r="X42" s="1" cm="1">
        <f t="array" aca="1" ref="X42" ca="1">_xlfn.IFS(W41=1,8%,W41=2,10%,W41&gt;2,10%,W41&lt;1,0)</f>
        <v>0.1</v>
      </c>
      <c r="Y42" s="35">
        <f t="shared" ca="1" si="1"/>
        <v>97.875</v>
      </c>
      <c r="Z42" s="40"/>
      <c r="AA42" s="1" t="str">
        <f>LEFT(PMS_Catalog[[#This Row],[WU Id]],3)</f>
        <v>PMS</v>
      </c>
    </row>
    <row r="43" spans="1:27" ht="39" customHeight="1">
      <c r="A43" s="1" t="s">
        <v>311</v>
      </c>
      <c r="B43" s="1" t="s">
        <v>78</v>
      </c>
      <c r="C43" s="1" t="s">
        <v>131</v>
      </c>
      <c r="D43" s="1" t="s">
        <v>312</v>
      </c>
      <c r="E43" s="1" t="s">
        <v>313</v>
      </c>
      <c r="F43" s="11" t="s">
        <v>192</v>
      </c>
      <c r="G43" s="21" t="s">
        <v>314</v>
      </c>
      <c r="H43" s="21" t="s">
        <v>315</v>
      </c>
      <c r="I43" s="1" t="s">
        <v>89</v>
      </c>
      <c r="J43" s="1" t="s">
        <v>89</v>
      </c>
      <c r="K43" s="1" t="s">
        <v>89</v>
      </c>
      <c r="L43" s="1" t="s">
        <v>316</v>
      </c>
      <c r="M43" s="2">
        <v>21.75</v>
      </c>
      <c r="N43" s="30">
        <v>18.7</v>
      </c>
      <c r="O43" s="30">
        <f>IF(ISNUMBER(SEARCH("IMS",PMS_Catalog[[#This Row],[WU Id]])),"IMS",PMS_Catalog[[#This Row],[UNIQUE PRICE per hour]]*PMS_Catalog[[#This Row],[PMS Effort (Hours)]])</f>
        <v>406.72499999999997</v>
      </c>
      <c r="P43" s="30">
        <v>10</v>
      </c>
      <c r="Q43" s="53" t="s">
        <v>88</v>
      </c>
      <c r="R43" s="1" t="s">
        <v>89</v>
      </c>
      <c r="S43" s="1"/>
      <c r="T43" s="31">
        <v>44768</v>
      </c>
      <c r="U43" s="1" t="s">
        <v>90</v>
      </c>
      <c r="V43" s="31">
        <v>44652</v>
      </c>
      <c r="W43" s="1">
        <f t="shared" ca="1" si="0"/>
        <v>4</v>
      </c>
      <c r="X43" s="1" cm="1">
        <f t="array" aca="1" ref="X43" ca="1">_xlfn.IFS(W42=1,8%,W42=2,10%,W42&gt;2,10%,W42&lt;1,0)</f>
        <v>0.1</v>
      </c>
      <c r="Y43" s="35">
        <f t="shared" ca="1" si="1"/>
        <v>366.05249999999995</v>
      </c>
      <c r="Z43" s="40"/>
      <c r="AA43" s="1" t="str">
        <f>LEFT(PMS_Catalog[[#This Row],[WU Id]],3)</f>
        <v>PMS</v>
      </c>
    </row>
    <row r="44" spans="1:27" ht="39" customHeight="1">
      <c r="A44" s="1" t="s">
        <v>317</v>
      </c>
      <c r="B44" s="1" t="s">
        <v>78</v>
      </c>
      <c r="C44" s="1" t="s">
        <v>92</v>
      </c>
      <c r="D44" s="1" t="s">
        <v>318</v>
      </c>
      <c r="E44" s="1" t="s">
        <v>319</v>
      </c>
      <c r="F44" s="11" t="s">
        <v>192</v>
      </c>
      <c r="G44" s="21" t="s">
        <v>320</v>
      </c>
      <c r="H44" s="21" t="s">
        <v>321</v>
      </c>
      <c r="I44" s="1" t="s">
        <v>309</v>
      </c>
      <c r="J44" s="1" t="s">
        <v>310</v>
      </c>
      <c r="K44" s="1" t="s">
        <v>89</v>
      </c>
      <c r="L44" s="1" t="s">
        <v>316</v>
      </c>
      <c r="M44" s="2">
        <v>21.75</v>
      </c>
      <c r="N44" s="30">
        <v>13.6</v>
      </c>
      <c r="O44" s="30">
        <f>IF(ISNUMBER(SEARCH("IMS",PMS_Catalog[[#This Row],[WU Id]])),"IMS",PMS_Catalog[[#This Row],[UNIQUE PRICE per hour]]*PMS_Catalog[[#This Row],[PMS Effort (Hours)]])</f>
        <v>295.8</v>
      </c>
      <c r="P44" s="30">
        <v>10</v>
      </c>
      <c r="Q44" s="53" t="s">
        <v>88</v>
      </c>
      <c r="R44" s="1" t="s">
        <v>89</v>
      </c>
      <c r="S44" s="1"/>
      <c r="T44" s="31">
        <v>44768</v>
      </c>
      <c r="U44" s="1" t="s">
        <v>90</v>
      </c>
      <c r="V44" s="31">
        <v>44652</v>
      </c>
      <c r="W44" s="1">
        <f t="shared" ca="1" si="0"/>
        <v>4</v>
      </c>
      <c r="X44" s="1" cm="1">
        <f t="array" aca="1" ref="X44" ca="1">_xlfn.IFS(W43=1,8%,W43=2,10%,W43&gt;2,10%,W43&lt;1,0)</f>
        <v>0.1</v>
      </c>
      <c r="Y44" s="35">
        <f t="shared" ca="1" si="1"/>
        <v>266.22000000000003</v>
      </c>
      <c r="Z44" s="40"/>
      <c r="AA44" s="1" t="str">
        <f>LEFT(PMS_Catalog[[#This Row],[WU Id]],3)</f>
        <v>PMS</v>
      </c>
    </row>
    <row r="45" spans="1:27" ht="39" customHeight="1">
      <c r="A45" s="1" t="s">
        <v>322</v>
      </c>
      <c r="B45" s="1" t="s">
        <v>78</v>
      </c>
      <c r="C45" s="1" t="s">
        <v>92</v>
      </c>
      <c r="D45" s="1" t="s">
        <v>323</v>
      </c>
      <c r="E45" s="1" t="s">
        <v>323</v>
      </c>
      <c r="F45" s="11" t="s">
        <v>192</v>
      </c>
      <c r="G45" s="21" t="s">
        <v>324</v>
      </c>
      <c r="H45" s="21" t="s">
        <v>325</v>
      </c>
      <c r="I45" s="1" t="s">
        <v>89</v>
      </c>
      <c r="J45" s="1" t="s">
        <v>89</v>
      </c>
      <c r="K45" s="1" t="s">
        <v>89</v>
      </c>
      <c r="L45" s="1" t="s">
        <v>87</v>
      </c>
      <c r="M45" s="2">
        <v>21.75</v>
      </c>
      <c r="N45" s="30">
        <v>5.0999999999999996</v>
      </c>
      <c r="O45" s="30">
        <f>IF(ISNUMBER(SEARCH("IMS",PMS_Catalog[[#This Row],[WU Id]])),"IMS",PMS_Catalog[[#This Row],[UNIQUE PRICE per hour]]*PMS_Catalog[[#This Row],[PMS Effort (Hours)]])</f>
        <v>110.925</v>
      </c>
      <c r="P45" s="30">
        <v>7</v>
      </c>
      <c r="Q45" s="53" t="s">
        <v>88</v>
      </c>
      <c r="R45" s="1" t="s">
        <v>89</v>
      </c>
      <c r="S45" s="1"/>
      <c r="T45" s="31">
        <v>44768</v>
      </c>
      <c r="U45" s="1" t="s">
        <v>90</v>
      </c>
      <c r="V45" s="31">
        <v>44652</v>
      </c>
      <c r="W45" s="1">
        <f t="shared" ca="1" si="0"/>
        <v>4</v>
      </c>
      <c r="X45" s="1" cm="1">
        <f t="array" aca="1" ref="X45" ca="1">_xlfn.IFS(W44=1,8%,W44=2,10%,W44&gt;2,10%,W44&lt;1,0)</f>
        <v>0.1</v>
      </c>
      <c r="Y45" s="35">
        <f t="shared" ca="1" si="1"/>
        <v>99.832499999999996</v>
      </c>
      <c r="Z45" s="40"/>
      <c r="AA45" s="1" t="str">
        <f>LEFT(PMS_Catalog[[#This Row],[WU Id]],3)</f>
        <v>PMS</v>
      </c>
    </row>
    <row r="46" spans="1:27" ht="39" customHeight="1">
      <c r="A46" s="1" t="s">
        <v>326</v>
      </c>
      <c r="B46" s="1" t="s">
        <v>78</v>
      </c>
      <c r="C46" s="1" t="s">
        <v>131</v>
      </c>
      <c r="D46" s="1" t="s">
        <v>327</v>
      </c>
      <c r="E46" s="1" t="s">
        <v>328</v>
      </c>
      <c r="F46" s="11" t="s">
        <v>192</v>
      </c>
      <c r="G46" s="21" t="s">
        <v>314</v>
      </c>
      <c r="H46" s="21" t="s">
        <v>329</v>
      </c>
      <c r="I46" s="1" t="s">
        <v>89</v>
      </c>
      <c r="J46" s="1" t="s">
        <v>89</v>
      </c>
      <c r="K46" s="1" t="s">
        <v>89</v>
      </c>
      <c r="L46" s="1" t="s">
        <v>316</v>
      </c>
      <c r="M46" s="2">
        <v>21.75</v>
      </c>
      <c r="N46" s="30">
        <v>20.399999999999999</v>
      </c>
      <c r="O46" s="30">
        <f>IF(ISNUMBER(SEARCH("IMS",PMS_Catalog[[#This Row],[WU Id]])),"IMS",PMS_Catalog[[#This Row],[UNIQUE PRICE per hour]]*PMS_Catalog[[#This Row],[PMS Effort (Hours)]])</f>
        <v>443.7</v>
      </c>
      <c r="P46" s="30">
        <v>10</v>
      </c>
      <c r="Q46" s="53" t="s">
        <v>88</v>
      </c>
      <c r="R46" s="1" t="s">
        <v>89</v>
      </c>
      <c r="S46" s="1"/>
      <c r="T46" s="31">
        <v>44768</v>
      </c>
      <c r="U46" s="1" t="s">
        <v>90</v>
      </c>
      <c r="V46" s="31">
        <v>44652</v>
      </c>
      <c r="W46" s="1">
        <f t="shared" ca="1" si="0"/>
        <v>4</v>
      </c>
      <c r="X46" s="1" cm="1">
        <f t="array" aca="1" ref="X46" ca="1">_xlfn.IFS(W45=1,8%,W45=2,10%,W45&gt;2,10%,W45&lt;1,0)</f>
        <v>0.1</v>
      </c>
      <c r="Y46" s="35">
        <f t="shared" ca="1" si="1"/>
        <v>399.33</v>
      </c>
      <c r="Z46" s="40"/>
      <c r="AA46" s="1" t="str">
        <f>LEFT(PMS_Catalog[[#This Row],[WU Id]],3)</f>
        <v>PMS</v>
      </c>
    </row>
    <row r="47" spans="1:27" ht="39" customHeight="1">
      <c r="A47" s="1" t="s">
        <v>330</v>
      </c>
      <c r="B47" s="1" t="s">
        <v>78</v>
      </c>
      <c r="C47" s="1" t="s">
        <v>131</v>
      </c>
      <c r="D47" s="1" t="s">
        <v>327</v>
      </c>
      <c r="E47" s="1" t="s">
        <v>328</v>
      </c>
      <c r="F47" s="11" t="s">
        <v>192</v>
      </c>
      <c r="G47" s="21" t="s">
        <v>320</v>
      </c>
      <c r="H47" s="21" t="s">
        <v>329</v>
      </c>
      <c r="I47" s="1" t="s">
        <v>309</v>
      </c>
      <c r="J47" s="1" t="s">
        <v>310</v>
      </c>
      <c r="K47" s="1" t="s">
        <v>89</v>
      </c>
      <c r="L47" s="1" t="s">
        <v>316</v>
      </c>
      <c r="M47" s="2">
        <v>21.75</v>
      </c>
      <c r="N47" s="30">
        <v>17</v>
      </c>
      <c r="O47" s="30">
        <f>IF(ISNUMBER(SEARCH("IMS",PMS_Catalog[[#This Row],[WU Id]])),"IMS",PMS_Catalog[[#This Row],[UNIQUE PRICE per hour]]*PMS_Catalog[[#This Row],[PMS Effort (Hours)]])</f>
        <v>369.75</v>
      </c>
      <c r="P47" s="30">
        <v>10</v>
      </c>
      <c r="Q47" s="53" t="s">
        <v>88</v>
      </c>
      <c r="R47" s="1" t="s">
        <v>89</v>
      </c>
      <c r="S47" s="1"/>
      <c r="T47" s="31">
        <v>44768</v>
      </c>
      <c r="U47" s="1" t="s">
        <v>90</v>
      </c>
      <c r="V47" s="31">
        <v>44652</v>
      </c>
      <c r="W47" s="1">
        <f t="shared" ca="1" si="0"/>
        <v>4</v>
      </c>
      <c r="X47" s="1" cm="1">
        <f t="array" aca="1" ref="X47" ca="1">_xlfn.IFS(W46=1,8%,W46=2,10%,W46&gt;2,10%,W46&lt;1,0)</f>
        <v>0.1</v>
      </c>
      <c r="Y47" s="35">
        <f t="shared" ca="1" si="1"/>
        <v>332.77499999999998</v>
      </c>
      <c r="Z47" s="40"/>
      <c r="AA47" s="1" t="str">
        <f>LEFT(PMS_Catalog[[#This Row],[WU Id]],3)</f>
        <v>PMS</v>
      </c>
    </row>
    <row r="48" spans="1:27" ht="39" customHeight="1">
      <c r="A48" s="1" t="s">
        <v>331</v>
      </c>
      <c r="B48" s="1" t="s">
        <v>78</v>
      </c>
      <c r="C48" s="1" t="s">
        <v>92</v>
      </c>
      <c r="D48" s="1" t="s">
        <v>332</v>
      </c>
      <c r="E48" s="1" t="s">
        <v>333</v>
      </c>
      <c r="F48" s="11" t="s">
        <v>192</v>
      </c>
      <c r="G48" s="21" t="s">
        <v>334</v>
      </c>
      <c r="H48" s="21" t="s">
        <v>321</v>
      </c>
      <c r="I48" s="1" t="s">
        <v>89</v>
      </c>
      <c r="J48" s="1" t="s">
        <v>89</v>
      </c>
      <c r="K48" s="1" t="s">
        <v>89</v>
      </c>
      <c r="L48" s="1" t="s">
        <v>316</v>
      </c>
      <c r="M48" s="2">
        <v>21.75</v>
      </c>
      <c r="N48" s="30">
        <v>30.599999999999998</v>
      </c>
      <c r="O48" s="30">
        <f>IF(ISNUMBER(SEARCH("IMS",PMS_Catalog[[#This Row],[WU Id]])),"IMS",PMS_Catalog[[#This Row],[UNIQUE PRICE per hour]]*PMS_Catalog[[#This Row],[PMS Effort (Hours)]])</f>
        <v>665.55</v>
      </c>
      <c r="P48" s="30">
        <v>14</v>
      </c>
      <c r="Q48" s="53" t="s">
        <v>88</v>
      </c>
      <c r="R48" s="1" t="s">
        <v>89</v>
      </c>
      <c r="S48" s="1"/>
      <c r="T48" s="31">
        <v>44768</v>
      </c>
      <c r="U48" s="1" t="s">
        <v>90</v>
      </c>
      <c r="V48" s="31">
        <v>44652</v>
      </c>
      <c r="W48" s="1">
        <f t="shared" ca="1" si="0"/>
        <v>4</v>
      </c>
      <c r="X48" s="1" cm="1">
        <f t="array" aca="1" ref="X48" ca="1">_xlfn.IFS(W47=1,8%,W47=2,10%,W47&gt;2,10%,W47&lt;1,0)</f>
        <v>0.1</v>
      </c>
      <c r="Y48" s="35">
        <f t="shared" ca="1" si="1"/>
        <v>598.995</v>
      </c>
      <c r="Z48" s="40"/>
      <c r="AA48" s="1" t="str">
        <f>LEFT(PMS_Catalog[[#This Row],[WU Id]],3)</f>
        <v>PMS</v>
      </c>
    </row>
    <row r="49" spans="1:27" ht="39" customHeight="1">
      <c r="A49" s="1" t="s">
        <v>335</v>
      </c>
      <c r="B49" s="1" t="s">
        <v>78</v>
      </c>
      <c r="C49" s="1" t="s">
        <v>92</v>
      </c>
      <c r="D49" s="1" t="s">
        <v>332</v>
      </c>
      <c r="E49" s="1" t="s">
        <v>333</v>
      </c>
      <c r="F49" s="11" t="s">
        <v>192</v>
      </c>
      <c r="G49" s="21" t="s">
        <v>336</v>
      </c>
      <c r="H49" s="21" t="s">
        <v>329</v>
      </c>
      <c r="I49" s="1" t="s">
        <v>89</v>
      </c>
      <c r="J49" s="1" t="s">
        <v>89</v>
      </c>
      <c r="K49" s="1" t="s">
        <v>89</v>
      </c>
      <c r="L49" s="1" t="s">
        <v>316</v>
      </c>
      <c r="M49" s="2">
        <v>21.75</v>
      </c>
      <c r="N49" s="30">
        <v>8</v>
      </c>
      <c r="O49" s="30">
        <f>IF(ISNUMBER(SEARCH("IMS",PMS_Catalog[[#This Row],[WU Id]])),"IMS",PMS_Catalog[[#This Row],[UNIQUE PRICE per hour]]*PMS_Catalog[[#This Row],[PMS Effort (Hours)]])</f>
        <v>174</v>
      </c>
      <c r="P49" s="30">
        <v>10</v>
      </c>
      <c r="Q49" s="53" t="s">
        <v>88</v>
      </c>
      <c r="R49" s="1" t="s">
        <v>89</v>
      </c>
      <c r="S49" s="1"/>
      <c r="T49" s="31">
        <v>44768</v>
      </c>
      <c r="U49" s="1" t="s">
        <v>90</v>
      </c>
      <c r="V49" s="31">
        <v>44652</v>
      </c>
      <c r="W49" s="1">
        <f t="shared" ca="1" si="0"/>
        <v>4</v>
      </c>
      <c r="X49" s="1" cm="1">
        <f t="array" aca="1" ref="X49" ca="1">_xlfn.IFS(W48=1,8%,W48=2,10%,W48&gt;2,10%,W48&lt;1,0)</f>
        <v>0.1</v>
      </c>
      <c r="Y49" s="35">
        <f t="shared" ca="1" si="1"/>
        <v>156.6</v>
      </c>
      <c r="Z49" s="40"/>
      <c r="AA49" s="1" t="str">
        <f>LEFT(PMS_Catalog[[#This Row],[WU Id]],3)</f>
        <v>PMS</v>
      </c>
    </row>
    <row r="50" spans="1:27" ht="39" customHeight="1">
      <c r="A50" s="1" t="s">
        <v>337</v>
      </c>
      <c r="B50" s="1" t="s">
        <v>78</v>
      </c>
      <c r="C50" s="1" t="s">
        <v>92</v>
      </c>
      <c r="D50" s="1" t="s">
        <v>332</v>
      </c>
      <c r="E50" s="1" t="s">
        <v>333</v>
      </c>
      <c r="F50" s="11" t="s">
        <v>192</v>
      </c>
      <c r="G50" s="21" t="s">
        <v>320</v>
      </c>
      <c r="H50" s="21" t="s">
        <v>321</v>
      </c>
      <c r="I50" s="1" t="s">
        <v>309</v>
      </c>
      <c r="J50" s="1" t="s">
        <v>310</v>
      </c>
      <c r="K50" s="1" t="s">
        <v>89</v>
      </c>
      <c r="L50" s="1" t="s">
        <v>316</v>
      </c>
      <c r="M50" s="2">
        <v>21.75</v>
      </c>
      <c r="N50" s="30">
        <v>12</v>
      </c>
      <c r="O50" s="30">
        <f>IF(ISNUMBER(SEARCH("IMS",PMS_Catalog[[#This Row],[WU Id]])),"IMS",PMS_Catalog[[#This Row],[UNIQUE PRICE per hour]]*PMS_Catalog[[#This Row],[PMS Effort (Hours)]])</f>
        <v>261</v>
      </c>
      <c r="P50" s="30">
        <v>10</v>
      </c>
      <c r="Q50" s="53" t="s">
        <v>88</v>
      </c>
      <c r="R50" s="1" t="s">
        <v>89</v>
      </c>
      <c r="S50" s="1"/>
      <c r="T50" s="31">
        <v>44768</v>
      </c>
      <c r="U50" s="1" t="s">
        <v>90</v>
      </c>
      <c r="V50" s="31">
        <v>44652</v>
      </c>
      <c r="W50" s="1">
        <f t="shared" ca="1" si="0"/>
        <v>4</v>
      </c>
      <c r="X50" s="1" cm="1">
        <f t="array" aca="1" ref="X50" ca="1">_xlfn.IFS(W49=1,8%,W49=2,10%,W49&gt;2,10%,W49&lt;1,0)</f>
        <v>0.1</v>
      </c>
      <c r="Y50" s="35">
        <f t="shared" ca="1" si="1"/>
        <v>234.9</v>
      </c>
      <c r="Z50" s="40"/>
      <c r="AA50" s="1" t="str">
        <f>LEFT(PMS_Catalog[[#This Row],[WU Id]],3)</f>
        <v>PMS</v>
      </c>
    </row>
    <row r="51" spans="1:27" ht="39" customHeight="1">
      <c r="A51" s="1" t="s">
        <v>338</v>
      </c>
      <c r="B51" s="1" t="s">
        <v>78</v>
      </c>
      <c r="C51" s="1" t="s">
        <v>92</v>
      </c>
      <c r="D51" s="1" t="s">
        <v>339</v>
      </c>
      <c r="E51" s="1" t="s">
        <v>340</v>
      </c>
      <c r="F51" s="11" t="s">
        <v>192</v>
      </c>
      <c r="G51" s="21" t="s">
        <v>341</v>
      </c>
      <c r="H51" s="21" t="s">
        <v>329</v>
      </c>
      <c r="I51" s="1" t="s">
        <v>89</v>
      </c>
      <c r="J51" s="1" t="s">
        <v>89</v>
      </c>
      <c r="K51" s="1" t="s">
        <v>89</v>
      </c>
      <c r="L51" s="1" t="s">
        <v>316</v>
      </c>
      <c r="M51" s="2">
        <v>21.75</v>
      </c>
      <c r="N51" s="30">
        <v>15.299999999999999</v>
      </c>
      <c r="O51" s="30">
        <f>IF(ISNUMBER(SEARCH("IMS",PMS_Catalog[[#This Row],[WU Id]])),"IMS",PMS_Catalog[[#This Row],[UNIQUE PRICE per hour]]*PMS_Catalog[[#This Row],[PMS Effort (Hours)]])</f>
        <v>332.77499999999998</v>
      </c>
      <c r="P51" s="30">
        <v>10</v>
      </c>
      <c r="Q51" s="53" t="s">
        <v>88</v>
      </c>
      <c r="R51" s="1" t="s">
        <v>89</v>
      </c>
      <c r="S51" s="1"/>
      <c r="T51" s="31">
        <v>44768</v>
      </c>
      <c r="U51" s="1" t="s">
        <v>90</v>
      </c>
      <c r="V51" s="31">
        <v>44652</v>
      </c>
      <c r="W51" s="1">
        <f t="shared" ca="1" si="0"/>
        <v>4</v>
      </c>
      <c r="X51" s="1" cm="1">
        <f t="array" aca="1" ref="X51" ca="1">_xlfn.IFS(W50=1,8%,W50=2,10%,W50&gt;2,10%,W50&lt;1,0)</f>
        <v>0.1</v>
      </c>
      <c r="Y51" s="35">
        <f t="shared" ca="1" si="1"/>
        <v>299.4975</v>
      </c>
      <c r="Z51" s="40"/>
      <c r="AA51" s="1" t="str">
        <f>LEFT(PMS_Catalog[[#This Row],[WU Id]],3)</f>
        <v>PMS</v>
      </c>
    </row>
    <row r="52" spans="1:27" ht="39" customHeight="1">
      <c r="A52" s="1" t="s">
        <v>342</v>
      </c>
      <c r="B52" s="1" t="s">
        <v>78</v>
      </c>
      <c r="C52" s="1" t="s">
        <v>92</v>
      </c>
      <c r="D52" s="1" t="s">
        <v>339</v>
      </c>
      <c r="E52" s="1" t="s">
        <v>340</v>
      </c>
      <c r="F52" s="11" t="s">
        <v>192</v>
      </c>
      <c r="G52" s="21" t="s">
        <v>343</v>
      </c>
      <c r="H52" s="21" t="s">
        <v>321</v>
      </c>
      <c r="I52" s="1" t="s">
        <v>89</v>
      </c>
      <c r="J52" s="1" t="s">
        <v>89</v>
      </c>
      <c r="K52" s="1" t="s">
        <v>89</v>
      </c>
      <c r="L52" s="1" t="s">
        <v>316</v>
      </c>
      <c r="M52" s="2">
        <v>21.75</v>
      </c>
      <c r="N52" s="30">
        <v>15.299999999999999</v>
      </c>
      <c r="O52" s="30">
        <f>IF(ISNUMBER(SEARCH("IMS",PMS_Catalog[[#This Row],[WU Id]])),"IMS",PMS_Catalog[[#This Row],[UNIQUE PRICE per hour]]*PMS_Catalog[[#This Row],[PMS Effort (Hours)]])</f>
        <v>332.77499999999998</v>
      </c>
      <c r="P52" s="30">
        <v>10</v>
      </c>
      <c r="Q52" s="53" t="s">
        <v>88</v>
      </c>
      <c r="R52" s="1" t="s">
        <v>89</v>
      </c>
      <c r="S52" s="1"/>
      <c r="T52" s="31">
        <v>44768</v>
      </c>
      <c r="U52" s="1" t="s">
        <v>90</v>
      </c>
      <c r="V52" s="31">
        <v>44652</v>
      </c>
      <c r="W52" s="1">
        <f t="shared" ca="1" si="0"/>
        <v>4</v>
      </c>
      <c r="X52" s="1" cm="1">
        <f t="array" aca="1" ref="X52" ca="1">_xlfn.IFS(W51=1,8%,W51=2,10%,W51&gt;2,10%,W51&lt;1,0)</f>
        <v>0.1</v>
      </c>
      <c r="Y52" s="35">
        <f t="shared" ca="1" si="1"/>
        <v>299.4975</v>
      </c>
      <c r="Z52" s="40"/>
      <c r="AA52" s="1" t="str">
        <f>LEFT(PMS_Catalog[[#This Row],[WU Id]],3)</f>
        <v>PMS</v>
      </c>
    </row>
    <row r="53" spans="1:27" ht="39" customHeight="1">
      <c r="A53" s="1" t="s">
        <v>344</v>
      </c>
      <c r="B53" s="1" t="s">
        <v>78</v>
      </c>
      <c r="C53" s="1" t="s">
        <v>92</v>
      </c>
      <c r="D53" s="1" t="s">
        <v>345</v>
      </c>
      <c r="E53" s="1" t="s">
        <v>346</v>
      </c>
      <c r="F53" s="11" t="s">
        <v>192</v>
      </c>
      <c r="G53" s="21" t="s">
        <v>334</v>
      </c>
      <c r="H53" s="21" t="s">
        <v>329</v>
      </c>
      <c r="I53" s="1" t="s">
        <v>89</v>
      </c>
      <c r="J53" s="1" t="s">
        <v>89</v>
      </c>
      <c r="K53" s="1" t="s">
        <v>89</v>
      </c>
      <c r="L53" s="1" t="s">
        <v>316</v>
      </c>
      <c r="M53" s="2">
        <v>21.75</v>
      </c>
      <c r="N53" s="30">
        <v>17</v>
      </c>
      <c r="O53" s="30">
        <f>IF(ISNUMBER(SEARCH("IMS",PMS_Catalog[[#This Row],[WU Id]])),"IMS",PMS_Catalog[[#This Row],[UNIQUE PRICE per hour]]*PMS_Catalog[[#This Row],[PMS Effort (Hours)]])</f>
        <v>369.75</v>
      </c>
      <c r="P53" s="30">
        <v>14</v>
      </c>
      <c r="Q53" s="53" t="s">
        <v>88</v>
      </c>
      <c r="R53" s="1" t="s">
        <v>89</v>
      </c>
      <c r="S53" s="1"/>
      <c r="T53" s="31">
        <v>44768</v>
      </c>
      <c r="U53" s="1" t="s">
        <v>90</v>
      </c>
      <c r="V53" s="31">
        <v>44652</v>
      </c>
      <c r="W53" s="1">
        <f t="shared" ca="1" si="0"/>
        <v>4</v>
      </c>
      <c r="X53" s="1" cm="1">
        <f t="array" aca="1" ref="X53" ca="1">_xlfn.IFS(W52=1,8%,W52=2,10%,W52&gt;2,10%,W52&lt;1,0)</f>
        <v>0.1</v>
      </c>
      <c r="Y53" s="35">
        <f t="shared" ca="1" si="1"/>
        <v>332.77499999999998</v>
      </c>
      <c r="Z53" s="40"/>
      <c r="AA53" s="1" t="str">
        <f>LEFT(PMS_Catalog[[#This Row],[WU Id]],3)</f>
        <v>PMS</v>
      </c>
    </row>
    <row r="54" spans="1:27" ht="39" customHeight="1">
      <c r="A54" s="1" t="s">
        <v>347</v>
      </c>
      <c r="B54" s="1" t="s">
        <v>78</v>
      </c>
      <c r="C54" s="1" t="s">
        <v>92</v>
      </c>
      <c r="D54" s="1" t="s">
        <v>345</v>
      </c>
      <c r="E54" s="1" t="s">
        <v>346</v>
      </c>
      <c r="F54" s="11" t="s">
        <v>192</v>
      </c>
      <c r="G54" s="21" t="s">
        <v>336</v>
      </c>
      <c r="H54" s="21" t="s">
        <v>321</v>
      </c>
      <c r="I54" s="1" t="s">
        <v>89</v>
      </c>
      <c r="J54" s="1" t="s">
        <v>89</v>
      </c>
      <c r="K54" s="1" t="s">
        <v>89</v>
      </c>
      <c r="L54" s="1" t="s">
        <v>316</v>
      </c>
      <c r="M54" s="2">
        <v>21.75</v>
      </c>
      <c r="N54" s="30">
        <v>11.9</v>
      </c>
      <c r="O54" s="30">
        <f>IF(ISNUMBER(SEARCH("IMS",PMS_Catalog[[#This Row],[WU Id]])),"IMS",PMS_Catalog[[#This Row],[UNIQUE PRICE per hour]]*PMS_Catalog[[#This Row],[PMS Effort (Hours)]])</f>
        <v>258.82499999999999</v>
      </c>
      <c r="P54" s="30">
        <v>10</v>
      </c>
      <c r="Q54" s="53" t="s">
        <v>88</v>
      </c>
      <c r="R54" s="1" t="s">
        <v>89</v>
      </c>
      <c r="S54" s="1"/>
      <c r="T54" s="31">
        <v>44768</v>
      </c>
      <c r="U54" s="1" t="s">
        <v>90</v>
      </c>
      <c r="V54" s="31">
        <v>44652</v>
      </c>
      <c r="W54" s="1">
        <f t="shared" ca="1" si="0"/>
        <v>4</v>
      </c>
      <c r="X54" s="1" cm="1">
        <f t="array" aca="1" ref="X54" ca="1">_xlfn.IFS(W53=1,8%,W53=2,10%,W53&gt;2,10%,W53&lt;1,0)</f>
        <v>0.1</v>
      </c>
      <c r="Y54" s="35">
        <f t="shared" ca="1" si="1"/>
        <v>232.9425</v>
      </c>
      <c r="Z54" s="40"/>
      <c r="AA54" s="1" t="str">
        <f>LEFT(PMS_Catalog[[#This Row],[WU Id]],3)</f>
        <v>PMS</v>
      </c>
    </row>
    <row r="55" spans="1:27" ht="39" customHeight="1">
      <c r="A55" s="1" t="s">
        <v>348</v>
      </c>
      <c r="B55" s="1" t="s">
        <v>78</v>
      </c>
      <c r="C55" s="1" t="s">
        <v>92</v>
      </c>
      <c r="D55" s="1" t="s">
        <v>345</v>
      </c>
      <c r="E55" s="1" t="s">
        <v>346</v>
      </c>
      <c r="F55" s="11" t="s">
        <v>192</v>
      </c>
      <c r="G55" s="21" t="s">
        <v>320</v>
      </c>
      <c r="H55" s="21" t="s">
        <v>329</v>
      </c>
      <c r="I55" s="1" t="s">
        <v>309</v>
      </c>
      <c r="J55" s="1" t="s">
        <v>310</v>
      </c>
      <c r="K55" s="1" t="s">
        <v>89</v>
      </c>
      <c r="L55" s="1" t="s">
        <v>316</v>
      </c>
      <c r="M55" s="2">
        <v>21.75</v>
      </c>
      <c r="N55" s="30">
        <v>20.399999999999999</v>
      </c>
      <c r="O55" s="30">
        <f>IF(ISNUMBER(SEARCH("IMS",PMS_Catalog[[#This Row],[WU Id]])),"IMS",PMS_Catalog[[#This Row],[UNIQUE PRICE per hour]]*PMS_Catalog[[#This Row],[PMS Effort (Hours)]])</f>
        <v>443.7</v>
      </c>
      <c r="P55" s="30">
        <v>10</v>
      </c>
      <c r="Q55" s="53" t="s">
        <v>88</v>
      </c>
      <c r="R55" s="1" t="s">
        <v>89</v>
      </c>
      <c r="S55" s="1"/>
      <c r="T55" s="31">
        <v>44768</v>
      </c>
      <c r="U55" s="1" t="s">
        <v>90</v>
      </c>
      <c r="V55" s="31">
        <v>44652</v>
      </c>
      <c r="W55" s="1">
        <f t="shared" ca="1" si="0"/>
        <v>4</v>
      </c>
      <c r="X55" s="1" cm="1">
        <f t="array" aca="1" ref="X55" ca="1">_xlfn.IFS(W54=1,8%,W54=2,10%,W54&gt;2,10%,W54&lt;1,0)</f>
        <v>0.1</v>
      </c>
      <c r="Y55" s="35">
        <f t="shared" ca="1" si="1"/>
        <v>399.33</v>
      </c>
      <c r="Z55" s="40"/>
      <c r="AA55" s="1" t="str">
        <f>LEFT(PMS_Catalog[[#This Row],[WU Id]],3)</f>
        <v>PMS</v>
      </c>
    </row>
    <row r="56" spans="1:27" ht="39" customHeight="1">
      <c r="A56" s="1" t="s">
        <v>349</v>
      </c>
      <c r="B56" s="1" t="s">
        <v>78</v>
      </c>
      <c r="C56" s="1" t="s">
        <v>92</v>
      </c>
      <c r="D56" s="1" t="s">
        <v>350</v>
      </c>
      <c r="E56" s="1" t="s">
        <v>351</v>
      </c>
      <c r="F56" s="11" t="s">
        <v>192</v>
      </c>
      <c r="G56" s="21" t="s">
        <v>352</v>
      </c>
      <c r="H56" s="21" t="s">
        <v>321</v>
      </c>
      <c r="I56" s="1" t="s">
        <v>89</v>
      </c>
      <c r="J56" s="1" t="s">
        <v>89</v>
      </c>
      <c r="K56" s="1" t="s">
        <v>89</v>
      </c>
      <c r="L56" s="1" t="s">
        <v>316</v>
      </c>
      <c r="M56" s="2">
        <v>21.75</v>
      </c>
      <c r="N56" s="30">
        <v>11.9</v>
      </c>
      <c r="O56" s="30">
        <f>IF(ISNUMBER(SEARCH("IMS",PMS_Catalog[[#This Row],[WU Id]])),"IMS",PMS_Catalog[[#This Row],[UNIQUE PRICE per hour]]*PMS_Catalog[[#This Row],[PMS Effort (Hours)]])</f>
        <v>258.82499999999999</v>
      </c>
      <c r="P56" s="30">
        <v>10</v>
      </c>
      <c r="Q56" s="53" t="s">
        <v>88</v>
      </c>
      <c r="R56" s="1" t="s">
        <v>89</v>
      </c>
      <c r="S56" s="1"/>
      <c r="T56" s="31">
        <v>44768</v>
      </c>
      <c r="U56" s="1" t="s">
        <v>90</v>
      </c>
      <c r="V56" s="31">
        <v>44652</v>
      </c>
      <c r="W56" s="1">
        <f t="shared" ca="1" si="0"/>
        <v>4</v>
      </c>
      <c r="X56" s="1" cm="1">
        <f t="array" aca="1" ref="X56" ca="1">_xlfn.IFS(W55=1,8%,W55=2,10%,W55&gt;2,10%,W55&lt;1,0)</f>
        <v>0.1</v>
      </c>
      <c r="Y56" s="35">
        <f t="shared" ca="1" si="1"/>
        <v>232.9425</v>
      </c>
      <c r="Z56" s="40"/>
      <c r="AA56" s="1" t="str">
        <f>LEFT(PMS_Catalog[[#This Row],[WU Id]],3)</f>
        <v>PMS</v>
      </c>
    </row>
    <row r="57" spans="1:27" ht="39" customHeight="1">
      <c r="A57" s="1" t="s">
        <v>353</v>
      </c>
      <c r="B57" s="1" t="s">
        <v>78</v>
      </c>
      <c r="C57" s="1" t="s">
        <v>92</v>
      </c>
      <c r="D57" s="1" t="s">
        <v>350</v>
      </c>
      <c r="E57" s="1" t="s">
        <v>351</v>
      </c>
      <c r="F57" s="11" t="s">
        <v>192</v>
      </c>
      <c r="G57" s="21" t="s">
        <v>320</v>
      </c>
      <c r="H57" s="21" t="s">
        <v>329</v>
      </c>
      <c r="I57" s="1" t="s">
        <v>309</v>
      </c>
      <c r="J57" s="1" t="s">
        <v>310</v>
      </c>
      <c r="K57" s="1" t="s">
        <v>89</v>
      </c>
      <c r="L57" s="1" t="s">
        <v>316</v>
      </c>
      <c r="M57" s="2">
        <v>21.75</v>
      </c>
      <c r="N57" s="30">
        <v>13.6</v>
      </c>
      <c r="O57" s="30">
        <f>IF(ISNUMBER(SEARCH("IMS",PMS_Catalog[[#This Row],[WU Id]])),"IMS",PMS_Catalog[[#This Row],[UNIQUE PRICE per hour]]*PMS_Catalog[[#This Row],[PMS Effort (Hours)]])</f>
        <v>295.8</v>
      </c>
      <c r="P57" s="30">
        <v>10</v>
      </c>
      <c r="Q57" s="53" t="s">
        <v>88</v>
      </c>
      <c r="R57" s="1" t="s">
        <v>89</v>
      </c>
      <c r="S57" s="1"/>
      <c r="T57" s="31">
        <v>44768</v>
      </c>
      <c r="U57" s="1" t="s">
        <v>90</v>
      </c>
      <c r="V57" s="31">
        <v>44652</v>
      </c>
      <c r="W57" s="1">
        <f t="shared" ca="1" si="0"/>
        <v>4</v>
      </c>
      <c r="X57" s="1" cm="1">
        <f t="array" aca="1" ref="X57" ca="1">_xlfn.IFS(W56=1,8%,W56=2,10%,W56&gt;2,10%,W56&lt;1,0)</f>
        <v>0.1</v>
      </c>
      <c r="Y57" s="35">
        <f t="shared" ca="1" si="1"/>
        <v>266.22000000000003</v>
      </c>
      <c r="Z57" s="40"/>
      <c r="AA57" s="1" t="str">
        <f>LEFT(PMS_Catalog[[#This Row],[WU Id]],3)</f>
        <v>PMS</v>
      </c>
    </row>
    <row r="58" spans="1:27" ht="39" customHeight="1">
      <c r="A58" s="1" t="s">
        <v>354</v>
      </c>
      <c r="B58" s="1" t="s">
        <v>78</v>
      </c>
      <c r="C58" s="1" t="s">
        <v>92</v>
      </c>
      <c r="D58" s="1" t="s">
        <v>191</v>
      </c>
      <c r="E58" s="1" t="s">
        <v>191</v>
      </c>
      <c r="F58" s="12" t="s">
        <v>192</v>
      </c>
      <c r="G58" s="21" t="s">
        <v>355</v>
      </c>
      <c r="H58" s="21" t="s">
        <v>356</v>
      </c>
      <c r="I58" s="1" t="s">
        <v>89</v>
      </c>
      <c r="J58" s="1" t="s">
        <v>89</v>
      </c>
      <c r="K58" s="1" t="s">
        <v>89</v>
      </c>
      <c r="L58" s="1" t="s">
        <v>357</v>
      </c>
      <c r="M58" s="2">
        <v>21.75</v>
      </c>
      <c r="N58" s="30">
        <v>24</v>
      </c>
      <c r="O58" s="30">
        <f>IF(ISNUMBER(SEARCH("IMS",PMS_Catalog[[#This Row],[WU Id]])),"IMS",PMS_Catalog[[#This Row],[UNIQUE PRICE per hour]]*PMS_Catalog[[#This Row],[PMS Effort (Hours)]])</f>
        <v>522</v>
      </c>
      <c r="P58" s="30">
        <v>5</v>
      </c>
      <c r="Q58" s="53" t="s">
        <v>88</v>
      </c>
      <c r="R58" s="1" t="s">
        <v>89</v>
      </c>
      <c r="S58" s="1"/>
      <c r="T58" s="31">
        <v>44768</v>
      </c>
      <c r="U58" s="1" t="s">
        <v>90</v>
      </c>
      <c r="V58" s="31">
        <v>44652</v>
      </c>
      <c r="W58" s="1">
        <f t="shared" ca="1" si="0"/>
        <v>4</v>
      </c>
      <c r="X58" s="1" cm="1">
        <f t="array" aca="1" ref="X58" ca="1">_xlfn.IFS(W57=1,8%,W57=2,10%,W57&gt;2,10%,W57&lt;1,0)</f>
        <v>0.1</v>
      </c>
      <c r="Y58" s="35">
        <f t="shared" ca="1" si="1"/>
        <v>469.8</v>
      </c>
      <c r="Z58" s="40"/>
      <c r="AA58" s="1" t="str">
        <f>LEFT(PMS_Catalog[[#This Row],[WU Id]],3)</f>
        <v>PMS</v>
      </c>
    </row>
    <row r="59" spans="1:27" ht="39" customHeight="1">
      <c r="A59" s="1" t="s">
        <v>358</v>
      </c>
      <c r="B59" s="1" t="s">
        <v>78</v>
      </c>
      <c r="C59" s="1" t="s">
        <v>92</v>
      </c>
      <c r="D59" s="1" t="s">
        <v>93</v>
      </c>
      <c r="E59" s="1" t="s">
        <v>94</v>
      </c>
      <c r="F59" s="12" t="s">
        <v>192</v>
      </c>
      <c r="G59" s="21" t="s">
        <v>359</v>
      </c>
      <c r="H59" s="21" t="s">
        <v>360</v>
      </c>
      <c r="I59" s="1" t="s">
        <v>104</v>
      </c>
      <c r="J59" s="1" t="s">
        <v>105</v>
      </c>
      <c r="K59" s="1" t="s">
        <v>361</v>
      </c>
      <c r="L59" s="1" t="s">
        <v>362</v>
      </c>
      <c r="M59" s="2">
        <v>21.75</v>
      </c>
      <c r="N59" s="30">
        <v>8</v>
      </c>
      <c r="O59" s="30">
        <f>IF(ISNUMBER(SEARCH("IMS",PMS_Catalog[[#This Row],[WU Id]])),"IMS",PMS_Catalog[[#This Row],[UNIQUE PRICE per hour]]*PMS_Catalog[[#This Row],[PMS Effort (Hours)]])</f>
        <v>174</v>
      </c>
      <c r="P59" s="30">
        <v>21</v>
      </c>
      <c r="Q59" s="53" t="s">
        <v>88</v>
      </c>
      <c r="R59" s="1" t="s">
        <v>89</v>
      </c>
      <c r="S59" s="1"/>
      <c r="T59" s="31">
        <v>44768</v>
      </c>
      <c r="U59" s="1" t="s">
        <v>90</v>
      </c>
      <c r="V59" s="31">
        <v>44652</v>
      </c>
      <c r="W59" s="1">
        <f t="shared" ca="1" si="0"/>
        <v>4</v>
      </c>
      <c r="X59" s="1" cm="1">
        <f t="array" aca="1" ref="X59" ca="1">_xlfn.IFS(W58=1,8%,W58=2,10%,W58&gt;2,10%,W58&lt;1,0)</f>
        <v>0.1</v>
      </c>
      <c r="Y59" s="35">
        <f t="shared" ca="1" si="1"/>
        <v>156.6</v>
      </c>
      <c r="Z59" s="40"/>
      <c r="AA59" s="1" t="str">
        <f>LEFT(PMS_Catalog[[#This Row],[WU Id]],3)</f>
        <v>PMS</v>
      </c>
    </row>
    <row r="60" spans="1:27" ht="39" customHeight="1">
      <c r="A60" s="1" t="s">
        <v>363</v>
      </c>
      <c r="B60" s="1" t="s">
        <v>78</v>
      </c>
      <c r="C60" s="1" t="s">
        <v>92</v>
      </c>
      <c r="D60" s="1" t="s">
        <v>93</v>
      </c>
      <c r="E60" s="1" t="s">
        <v>94</v>
      </c>
      <c r="F60" s="12" t="s">
        <v>280</v>
      </c>
      <c r="G60" s="21" t="s">
        <v>364</v>
      </c>
      <c r="H60" s="21" t="s">
        <v>365</v>
      </c>
      <c r="I60" s="1" t="s">
        <v>104</v>
      </c>
      <c r="J60" s="1" t="s">
        <v>105</v>
      </c>
      <c r="K60" s="1" t="s">
        <v>106</v>
      </c>
      <c r="L60" s="1" t="s">
        <v>366</v>
      </c>
      <c r="M60" s="2">
        <v>21.75</v>
      </c>
      <c r="N60" s="30">
        <v>20</v>
      </c>
      <c r="O60" s="30">
        <f>IF(ISNUMBER(SEARCH("IMS",PMS_Catalog[[#This Row],[WU Id]])),"IMS",PMS_Catalog[[#This Row],[UNIQUE PRICE per hour]]*PMS_Catalog[[#This Row],[PMS Effort (Hours)]])</f>
        <v>435</v>
      </c>
      <c r="P60" s="30">
        <v>21</v>
      </c>
      <c r="Q60" s="53" t="s">
        <v>88</v>
      </c>
      <c r="R60" s="1" t="s">
        <v>89</v>
      </c>
      <c r="S60" s="1"/>
      <c r="T60" s="31">
        <v>44768</v>
      </c>
      <c r="U60" s="1" t="s">
        <v>90</v>
      </c>
      <c r="V60" s="31">
        <v>44652</v>
      </c>
      <c r="W60" s="1">
        <f t="shared" ca="1" si="0"/>
        <v>4</v>
      </c>
      <c r="X60" s="1" cm="1">
        <f t="array" aca="1" ref="X60" ca="1">_xlfn.IFS(W59=1,8%,W59=2,10%,W59&gt;2,10%,W59&lt;1,0)</f>
        <v>0.1</v>
      </c>
      <c r="Y60" s="35">
        <f t="shared" ca="1" si="1"/>
        <v>391.5</v>
      </c>
      <c r="Z60" s="40"/>
      <c r="AA60" s="1" t="str">
        <f>LEFT(PMS_Catalog[[#This Row],[WU Id]],3)</f>
        <v>PMS</v>
      </c>
    </row>
    <row r="61" spans="1:27" ht="39" customHeight="1">
      <c r="A61" s="1" t="s">
        <v>367</v>
      </c>
      <c r="B61" s="1" t="s">
        <v>78</v>
      </c>
      <c r="C61" s="1" t="s">
        <v>92</v>
      </c>
      <c r="D61" s="1" t="s">
        <v>93</v>
      </c>
      <c r="E61" s="1" t="s">
        <v>94</v>
      </c>
      <c r="F61" s="12" t="s">
        <v>280</v>
      </c>
      <c r="G61" s="21" t="s">
        <v>368</v>
      </c>
      <c r="H61" s="21" t="s">
        <v>369</v>
      </c>
      <c r="I61" s="1" t="s">
        <v>104</v>
      </c>
      <c r="J61" s="1" t="s">
        <v>105</v>
      </c>
      <c r="K61" s="1" t="s">
        <v>370</v>
      </c>
      <c r="L61" s="1" t="s">
        <v>98</v>
      </c>
      <c r="M61" s="2">
        <v>21.75</v>
      </c>
      <c r="N61" s="30">
        <v>4</v>
      </c>
      <c r="O61" s="30">
        <f>IF(ISNUMBER(SEARCH("IMS",PMS_Catalog[[#This Row],[WU Id]])),"IMS",PMS_Catalog[[#This Row],[UNIQUE PRICE per hour]]*PMS_Catalog[[#This Row],[PMS Effort (Hours)]])</f>
        <v>87</v>
      </c>
      <c r="P61" s="30">
        <v>10</v>
      </c>
      <c r="Q61" s="53" t="s">
        <v>88</v>
      </c>
      <c r="R61" s="1" t="s">
        <v>89</v>
      </c>
      <c r="S61" s="1"/>
      <c r="T61" s="31">
        <v>44768</v>
      </c>
      <c r="U61" s="1" t="s">
        <v>90</v>
      </c>
      <c r="V61" s="31">
        <v>44652</v>
      </c>
      <c r="W61" s="1">
        <f t="shared" ca="1" si="0"/>
        <v>4</v>
      </c>
      <c r="X61" s="1" cm="1">
        <f t="array" aca="1" ref="X61" ca="1">_xlfn.IFS(W60=1,8%,W60=2,10%,W60&gt;2,10%,W60&lt;1,0)</f>
        <v>0.1</v>
      </c>
      <c r="Y61" s="35">
        <f t="shared" ca="1" si="1"/>
        <v>78.3</v>
      </c>
      <c r="Z61" s="40"/>
      <c r="AA61" s="1" t="str">
        <f>LEFT(PMS_Catalog[[#This Row],[WU Id]],3)</f>
        <v>PMS</v>
      </c>
    </row>
    <row r="62" spans="1:27" ht="39" customHeight="1">
      <c r="A62" s="1" t="s">
        <v>371</v>
      </c>
      <c r="B62" s="1" t="s">
        <v>78</v>
      </c>
      <c r="C62" s="1" t="s">
        <v>92</v>
      </c>
      <c r="D62" s="1" t="s">
        <v>93</v>
      </c>
      <c r="E62" s="1" t="s">
        <v>94</v>
      </c>
      <c r="F62" s="12" t="s">
        <v>372</v>
      </c>
      <c r="G62" s="21" t="s">
        <v>373</v>
      </c>
      <c r="H62" s="21" t="s">
        <v>374</v>
      </c>
      <c r="I62" s="1" t="s">
        <v>89</v>
      </c>
      <c r="J62" s="1" t="s">
        <v>89</v>
      </c>
      <c r="K62" s="1" t="s">
        <v>89</v>
      </c>
      <c r="L62" s="1" t="s">
        <v>375</v>
      </c>
      <c r="M62" s="2">
        <v>21.75</v>
      </c>
      <c r="N62" s="30">
        <v>25</v>
      </c>
      <c r="O62" s="30">
        <f>IF(ISNUMBER(SEARCH("IMS",PMS_Catalog[[#This Row],[WU Id]])),"IMS",PMS_Catalog[[#This Row],[UNIQUE PRICE per hour]]*PMS_Catalog[[#This Row],[PMS Effort (Hours)]])</f>
        <v>543.75</v>
      </c>
      <c r="P62" s="30">
        <v>15</v>
      </c>
      <c r="Q62" s="53" t="s">
        <v>88</v>
      </c>
      <c r="R62" s="1" t="s">
        <v>89</v>
      </c>
      <c r="S62" s="1"/>
      <c r="T62" s="31">
        <v>44768</v>
      </c>
      <c r="U62" s="1" t="s">
        <v>90</v>
      </c>
      <c r="V62" s="31">
        <v>44652</v>
      </c>
      <c r="W62" s="1">
        <f t="shared" ca="1" si="0"/>
        <v>4</v>
      </c>
      <c r="X62" s="1" cm="1">
        <f t="array" aca="1" ref="X62" ca="1">_xlfn.IFS(W61=1,8%,W61=2,10%,W61&gt;2,10%,W61&lt;1,0)</f>
        <v>0.1</v>
      </c>
      <c r="Y62" s="35">
        <f t="shared" ca="1" si="1"/>
        <v>489.375</v>
      </c>
      <c r="Z62" s="40"/>
      <c r="AA62" s="1" t="str">
        <f>LEFT(PMS_Catalog[[#This Row],[WU Id]],3)</f>
        <v>PMS</v>
      </c>
    </row>
    <row r="63" spans="1:27" ht="39" customHeight="1">
      <c r="A63" s="1" t="s">
        <v>376</v>
      </c>
      <c r="B63" s="1" t="s">
        <v>78</v>
      </c>
      <c r="C63" s="1" t="s">
        <v>92</v>
      </c>
      <c r="D63" s="1" t="s">
        <v>93</v>
      </c>
      <c r="E63" s="1" t="s">
        <v>377</v>
      </c>
      <c r="F63" s="12" t="s">
        <v>192</v>
      </c>
      <c r="G63" s="21" t="s">
        <v>378</v>
      </c>
      <c r="H63" s="21" t="s">
        <v>379</v>
      </c>
      <c r="I63" s="1" t="s">
        <v>104</v>
      </c>
      <c r="J63" s="1" t="s">
        <v>105</v>
      </c>
      <c r="K63" s="1" t="s">
        <v>380</v>
      </c>
      <c r="L63" s="1" t="s">
        <v>381</v>
      </c>
      <c r="M63" s="2">
        <v>21.75</v>
      </c>
      <c r="N63" s="30">
        <v>25</v>
      </c>
      <c r="O63" s="30">
        <f>IF(ISNUMBER(SEARCH("IMS",PMS_Catalog[[#This Row],[WU Id]])),"IMS",PMS_Catalog[[#This Row],[UNIQUE PRICE per hour]]*PMS_Catalog[[#This Row],[PMS Effort (Hours)]])</f>
        <v>543.75</v>
      </c>
      <c r="P63" s="30">
        <v>14</v>
      </c>
      <c r="Q63" s="53" t="s">
        <v>88</v>
      </c>
      <c r="R63" s="1" t="s">
        <v>89</v>
      </c>
      <c r="S63" s="1"/>
      <c r="T63" s="31">
        <v>44768</v>
      </c>
      <c r="U63" s="1" t="s">
        <v>90</v>
      </c>
      <c r="V63" s="31">
        <v>44652</v>
      </c>
      <c r="W63" s="1">
        <f t="shared" ca="1" si="0"/>
        <v>4</v>
      </c>
      <c r="X63" s="1" cm="1">
        <f t="array" aca="1" ref="X63" ca="1">_xlfn.IFS(W62=1,8%,W62=2,10%,W62&gt;2,10%,W62&lt;1,0)</f>
        <v>0.1</v>
      </c>
      <c r="Y63" s="35">
        <f t="shared" ca="1" si="1"/>
        <v>489.375</v>
      </c>
      <c r="Z63" s="40"/>
      <c r="AA63" s="1" t="str">
        <f>LEFT(PMS_Catalog[[#This Row],[WU Id]],3)</f>
        <v>PMS</v>
      </c>
    </row>
    <row r="64" spans="1:27" ht="39" customHeight="1">
      <c r="A64" s="1" t="s">
        <v>382</v>
      </c>
      <c r="B64" s="1" t="s">
        <v>78</v>
      </c>
      <c r="C64" s="1" t="s">
        <v>92</v>
      </c>
      <c r="D64" s="1" t="s">
        <v>93</v>
      </c>
      <c r="E64" s="1" t="s">
        <v>94</v>
      </c>
      <c r="F64" s="12" t="s">
        <v>192</v>
      </c>
      <c r="G64" s="21" t="s">
        <v>383</v>
      </c>
      <c r="H64" s="21" t="s">
        <v>384</v>
      </c>
      <c r="I64" s="1" t="s">
        <v>89</v>
      </c>
      <c r="J64" s="1" t="s">
        <v>89</v>
      </c>
      <c r="K64" s="1" t="s">
        <v>89</v>
      </c>
      <c r="L64" s="1" t="s">
        <v>385</v>
      </c>
      <c r="M64" s="2">
        <v>21.75</v>
      </c>
      <c r="N64" s="30">
        <v>34</v>
      </c>
      <c r="O64" s="30">
        <f>IF(ISNUMBER(SEARCH("IMS",PMS_Catalog[[#This Row],[WU Id]])),"IMS",PMS_Catalog[[#This Row],[UNIQUE PRICE per hour]]*PMS_Catalog[[#This Row],[PMS Effort (Hours)]])</f>
        <v>739.5</v>
      </c>
      <c r="P64" s="30">
        <v>10</v>
      </c>
      <c r="Q64" s="53" t="s">
        <v>88</v>
      </c>
      <c r="R64" s="1" t="s">
        <v>89</v>
      </c>
      <c r="S64" s="1"/>
      <c r="T64" s="31">
        <v>44768</v>
      </c>
      <c r="U64" s="1" t="s">
        <v>90</v>
      </c>
      <c r="V64" s="31">
        <v>44652</v>
      </c>
      <c r="W64" s="1">
        <f t="shared" ca="1" si="0"/>
        <v>4</v>
      </c>
      <c r="X64" s="1" cm="1">
        <f t="array" aca="1" ref="X64" ca="1">_xlfn.IFS(W63=1,8%,W63=2,10%,W63&gt;2,10%,W63&lt;1,0)</f>
        <v>0.1</v>
      </c>
      <c r="Y64" s="35">
        <f t="shared" ca="1" si="1"/>
        <v>665.55</v>
      </c>
      <c r="Z64" s="40"/>
      <c r="AA64" s="1" t="str">
        <f>LEFT(PMS_Catalog[[#This Row],[WU Id]],3)</f>
        <v>PMS</v>
      </c>
    </row>
    <row r="65" spans="1:27" ht="39" customHeight="1">
      <c r="A65" s="1" t="s">
        <v>386</v>
      </c>
      <c r="B65" s="1" t="s">
        <v>78</v>
      </c>
      <c r="C65" s="1" t="s">
        <v>92</v>
      </c>
      <c r="D65" s="1" t="s">
        <v>93</v>
      </c>
      <c r="E65" s="1" t="s">
        <v>94</v>
      </c>
      <c r="F65" s="12" t="s">
        <v>192</v>
      </c>
      <c r="G65" s="21" t="s">
        <v>387</v>
      </c>
      <c r="H65" s="21" t="s">
        <v>388</v>
      </c>
      <c r="I65" s="1" t="s">
        <v>89</v>
      </c>
      <c r="J65" s="1" t="s">
        <v>89</v>
      </c>
      <c r="K65" s="1" t="s">
        <v>89</v>
      </c>
      <c r="L65" s="1" t="s">
        <v>389</v>
      </c>
      <c r="M65" s="2">
        <v>21.75</v>
      </c>
      <c r="N65" s="30">
        <v>20</v>
      </c>
      <c r="O65" s="30">
        <f>IF(ISNUMBER(SEARCH("IMS",PMS_Catalog[[#This Row],[WU Id]])),"IMS",PMS_Catalog[[#This Row],[UNIQUE PRICE per hour]]*PMS_Catalog[[#This Row],[PMS Effort (Hours)]])</f>
        <v>435</v>
      </c>
      <c r="P65" s="30">
        <v>5</v>
      </c>
      <c r="Q65" s="53" t="s">
        <v>88</v>
      </c>
      <c r="R65" s="1" t="s">
        <v>89</v>
      </c>
      <c r="S65" s="1"/>
      <c r="T65" s="31">
        <v>44768</v>
      </c>
      <c r="U65" s="1" t="s">
        <v>90</v>
      </c>
      <c r="V65" s="31">
        <v>44652</v>
      </c>
      <c r="W65" s="1">
        <f t="shared" ca="1" si="0"/>
        <v>4</v>
      </c>
      <c r="X65" s="1" cm="1">
        <f t="array" aca="1" ref="X65" ca="1">_xlfn.IFS(W64=1,8%,W64=2,10%,W64&gt;2,10%,W64&lt;1,0)</f>
        <v>0.1</v>
      </c>
      <c r="Y65" s="35">
        <f t="shared" ca="1" si="1"/>
        <v>391.5</v>
      </c>
      <c r="Z65" s="40"/>
      <c r="AA65" s="1" t="str">
        <f>LEFT(PMS_Catalog[[#This Row],[WU Id]],3)</f>
        <v>PMS</v>
      </c>
    </row>
    <row r="66" spans="1:27" ht="39" customHeight="1">
      <c r="A66" s="1" t="s">
        <v>390</v>
      </c>
      <c r="B66" s="1" t="s">
        <v>78</v>
      </c>
      <c r="C66" s="1" t="s">
        <v>92</v>
      </c>
      <c r="D66" s="1" t="s">
        <v>93</v>
      </c>
      <c r="E66" s="1" t="s">
        <v>94</v>
      </c>
      <c r="F66" s="12" t="s">
        <v>192</v>
      </c>
      <c r="G66" s="21" t="s">
        <v>391</v>
      </c>
      <c r="H66" s="21" t="s">
        <v>392</v>
      </c>
      <c r="I66" s="1" t="s">
        <v>89</v>
      </c>
      <c r="J66" s="1" t="s">
        <v>89</v>
      </c>
      <c r="K66" s="1" t="s">
        <v>89</v>
      </c>
      <c r="L66" s="1" t="s">
        <v>393</v>
      </c>
      <c r="M66" s="2">
        <v>21.75</v>
      </c>
      <c r="N66" s="30">
        <v>38</v>
      </c>
      <c r="O66" s="30">
        <f>IF(ISNUMBER(SEARCH("IMS",PMS_Catalog[[#This Row],[WU Id]])),"IMS",PMS_Catalog[[#This Row],[UNIQUE PRICE per hour]]*PMS_Catalog[[#This Row],[PMS Effort (Hours)]])</f>
        <v>826.5</v>
      </c>
      <c r="P66" s="30">
        <v>12</v>
      </c>
      <c r="Q66" s="53" t="s">
        <v>88</v>
      </c>
      <c r="R66" s="1" t="s">
        <v>89</v>
      </c>
      <c r="S66" s="1"/>
      <c r="T66" s="31">
        <v>44768</v>
      </c>
      <c r="U66" s="1" t="s">
        <v>90</v>
      </c>
      <c r="V66" s="31">
        <v>44652</v>
      </c>
      <c r="W66" s="1">
        <f t="shared" ref="W66:W129" ca="1" si="2">DATEDIF(V66, TODAY(), "Y")</f>
        <v>4</v>
      </c>
      <c r="X66" s="1" cm="1">
        <f t="array" aca="1" ref="X66" ca="1">_xlfn.IFS(W65=1,8%,W65=2,10%,W65&gt;2,10%,W65&lt;1,0)</f>
        <v>0.1</v>
      </c>
      <c r="Y66" s="35">
        <f t="shared" ref="Y66:Y129" ca="1" si="3">IF(ISNUMBER(SEARCH("IMS",A66)),"IMS",O66-O66*X66)</f>
        <v>743.85</v>
      </c>
      <c r="Z66" s="40"/>
      <c r="AA66" s="1" t="str">
        <f>LEFT(PMS_Catalog[[#This Row],[WU Id]],3)</f>
        <v>PMS</v>
      </c>
    </row>
    <row r="67" spans="1:27" ht="39" customHeight="1">
      <c r="A67" s="1" t="s">
        <v>394</v>
      </c>
      <c r="B67" s="1" t="s">
        <v>78</v>
      </c>
      <c r="C67" s="1" t="s">
        <v>92</v>
      </c>
      <c r="D67" s="1" t="s">
        <v>93</v>
      </c>
      <c r="E67" s="1" t="s">
        <v>94</v>
      </c>
      <c r="F67" s="12" t="s">
        <v>192</v>
      </c>
      <c r="G67" s="21" t="s">
        <v>395</v>
      </c>
      <c r="H67" s="21" t="s">
        <v>396</v>
      </c>
      <c r="I67" s="1" t="s">
        <v>89</v>
      </c>
      <c r="J67" s="1" t="s">
        <v>89</v>
      </c>
      <c r="K67" s="1" t="s">
        <v>89</v>
      </c>
      <c r="L67" s="1" t="s">
        <v>397</v>
      </c>
      <c r="M67" s="2">
        <v>21.75</v>
      </c>
      <c r="N67" s="30">
        <v>38</v>
      </c>
      <c r="O67" s="30">
        <f>IF(ISNUMBER(SEARCH("IMS",PMS_Catalog[[#This Row],[WU Id]])),"IMS",PMS_Catalog[[#This Row],[UNIQUE PRICE per hour]]*PMS_Catalog[[#This Row],[PMS Effort (Hours)]])</f>
        <v>826.5</v>
      </c>
      <c r="P67" s="30">
        <v>12</v>
      </c>
      <c r="Q67" s="53" t="s">
        <v>88</v>
      </c>
      <c r="R67" s="1" t="s">
        <v>89</v>
      </c>
      <c r="S67" s="1"/>
      <c r="T67" s="31">
        <v>44768</v>
      </c>
      <c r="U67" s="1" t="s">
        <v>90</v>
      </c>
      <c r="V67" s="31">
        <v>44652</v>
      </c>
      <c r="W67" s="1">
        <f t="shared" ca="1" si="2"/>
        <v>4</v>
      </c>
      <c r="X67" s="1" cm="1">
        <f t="array" aca="1" ref="X67" ca="1">_xlfn.IFS(W66=1,8%,W66=2,10%,W66&gt;2,10%,W66&lt;1,0)</f>
        <v>0.1</v>
      </c>
      <c r="Y67" s="35">
        <f t="shared" ca="1" si="3"/>
        <v>743.85</v>
      </c>
      <c r="Z67" s="40"/>
      <c r="AA67" s="1" t="str">
        <f>LEFT(PMS_Catalog[[#This Row],[WU Id]],3)</f>
        <v>PMS</v>
      </c>
    </row>
    <row r="68" spans="1:27" ht="39" customHeight="1">
      <c r="A68" s="1" t="s">
        <v>398</v>
      </c>
      <c r="B68" s="1" t="s">
        <v>78</v>
      </c>
      <c r="C68" s="1" t="s">
        <v>92</v>
      </c>
      <c r="D68" s="1" t="s">
        <v>108</v>
      </c>
      <c r="E68" s="1" t="s">
        <v>109</v>
      </c>
      <c r="F68" s="12" t="s">
        <v>280</v>
      </c>
      <c r="G68" s="21" t="s">
        <v>399</v>
      </c>
      <c r="H68" s="21" t="s">
        <v>400</v>
      </c>
      <c r="I68" s="1" t="s">
        <v>112</v>
      </c>
      <c r="J68" s="1" t="s">
        <v>113</v>
      </c>
      <c r="K68" s="1" t="s">
        <v>401</v>
      </c>
      <c r="L68" s="1" t="s">
        <v>366</v>
      </c>
      <c r="M68" s="2">
        <v>21.75</v>
      </c>
      <c r="N68" s="30">
        <v>3</v>
      </c>
      <c r="O68" s="30">
        <f>IF(ISNUMBER(SEARCH("IMS",PMS_Catalog[[#This Row],[WU Id]])),"IMS",PMS_Catalog[[#This Row],[UNIQUE PRICE per hour]]*PMS_Catalog[[#This Row],[PMS Effort (Hours)]])</f>
        <v>65.25</v>
      </c>
      <c r="P68" s="30">
        <v>4</v>
      </c>
      <c r="Q68" s="53" t="s">
        <v>88</v>
      </c>
      <c r="R68" s="1" t="s">
        <v>89</v>
      </c>
      <c r="S68" s="1"/>
      <c r="T68" s="31">
        <v>44768</v>
      </c>
      <c r="U68" s="1" t="s">
        <v>90</v>
      </c>
      <c r="V68" s="31">
        <v>44652</v>
      </c>
      <c r="W68" s="1">
        <f t="shared" ca="1" si="2"/>
        <v>4</v>
      </c>
      <c r="X68" s="1" cm="1">
        <f t="array" aca="1" ref="X68" ca="1">_xlfn.IFS(W67=1,8%,W67=2,10%,W67&gt;2,10%,W67&lt;1,0)</f>
        <v>0.1</v>
      </c>
      <c r="Y68" s="35">
        <f t="shared" ca="1" si="3"/>
        <v>58.725000000000001</v>
      </c>
      <c r="Z68" s="40"/>
      <c r="AA68" s="1" t="str">
        <f>LEFT(PMS_Catalog[[#This Row],[WU Id]],3)</f>
        <v>PMS</v>
      </c>
    </row>
    <row r="69" spans="1:27" ht="39" customHeight="1">
      <c r="A69" s="1" t="s">
        <v>402</v>
      </c>
      <c r="B69" s="1" t="s">
        <v>78</v>
      </c>
      <c r="C69" s="1" t="s">
        <v>92</v>
      </c>
      <c r="D69" s="1" t="s">
        <v>217</v>
      </c>
      <c r="E69" s="1" t="s">
        <v>218</v>
      </c>
      <c r="F69" s="11" t="s">
        <v>192</v>
      </c>
      <c r="G69" s="21" t="s">
        <v>403</v>
      </c>
      <c r="H69" s="21" t="s">
        <v>404</v>
      </c>
      <c r="I69" s="1" t="s">
        <v>89</v>
      </c>
      <c r="J69" s="1" t="s">
        <v>89</v>
      </c>
      <c r="K69" s="1" t="s">
        <v>228</v>
      </c>
      <c r="L69" s="1" t="s">
        <v>277</v>
      </c>
      <c r="M69" s="2">
        <v>21.75</v>
      </c>
      <c r="N69" s="30">
        <v>2</v>
      </c>
      <c r="O69" s="30">
        <f>IF(ISNUMBER(SEARCH("IMS",PMS_Catalog[[#This Row],[WU Id]])),"IMS",PMS_Catalog[[#This Row],[UNIQUE PRICE per hour]]*PMS_Catalog[[#This Row],[PMS Effort (Hours)]])</f>
        <v>43.5</v>
      </c>
      <c r="P69" s="30">
        <v>5</v>
      </c>
      <c r="Q69" s="53" t="s">
        <v>88</v>
      </c>
      <c r="R69" s="1" t="s">
        <v>89</v>
      </c>
      <c r="S69" s="1"/>
      <c r="T69" s="31">
        <v>44768</v>
      </c>
      <c r="U69" s="1" t="s">
        <v>90</v>
      </c>
      <c r="V69" s="31">
        <v>44652</v>
      </c>
      <c r="W69" s="1">
        <f t="shared" ca="1" si="2"/>
        <v>4</v>
      </c>
      <c r="X69" s="1" cm="1">
        <f t="array" aca="1" ref="X69" ca="1">_xlfn.IFS(W68=1,8%,W68=2,10%,W68&gt;2,10%,W68&lt;1,0)</f>
        <v>0.1</v>
      </c>
      <c r="Y69" s="35">
        <f t="shared" ca="1" si="3"/>
        <v>39.15</v>
      </c>
      <c r="Z69" s="40"/>
      <c r="AA69" s="1" t="str">
        <f>LEFT(PMS_Catalog[[#This Row],[WU Id]],3)</f>
        <v>PMS</v>
      </c>
    </row>
    <row r="70" spans="1:27" ht="39" customHeight="1">
      <c r="A70" s="1" t="s">
        <v>405</v>
      </c>
      <c r="B70" s="1" t="s">
        <v>78</v>
      </c>
      <c r="C70" s="1" t="s">
        <v>92</v>
      </c>
      <c r="D70" s="1" t="s">
        <v>406</v>
      </c>
      <c r="E70" s="1" t="s">
        <v>407</v>
      </c>
      <c r="F70" s="13" t="s">
        <v>408</v>
      </c>
      <c r="G70" s="21" t="s">
        <v>409</v>
      </c>
      <c r="H70" s="21" t="s">
        <v>410</v>
      </c>
      <c r="I70" s="1" t="s">
        <v>411</v>
      </c>
      <c r="J70" s="1" t="s">
        <v>412</v>
      </c>
      <c r="K70" s="1" t="s">
        <v>89</v>
      </c>
      <c r="L70" s="1" t="s">
        <v>413</v>
      </c>
      <c r="M70" s="2">
        <v>21.75</v>
      </c>
      <c r="N70" s="34" t="s">
        <v>7</v>
      </c>
      <c r="O70" s="34" t="str">
        <f>IF(ISNUMBER(SEARCH("IMS",PMS_Catalog[[#This Row],[WU Id]])),"IMS",PMS_Catalog[[#This Row],[UNIQUE PRICE per hour]]*PMS_Catalog[[#This Row],[PMS Effort (Hours)]])</f>
        <v>IMS</v>
      </c>
      <c r="P70" s="34">
        <v>7</v>
      </c>
      <c r="Q70" s="53" t="s">
        <v>88</v>
      </c>
      <c r="R70" s="1" t="s">
        <v>89</v>
      </c>
      <c r="S70" s="1"/>
      <c r="T70" s="31">
        <v>44768</v>
      </c>
      <c r="U70" s="1" t="s">
        <v>90</v>
      </c>
      <c r="V70" s="31">
        <v>44652</v>
      </c>
      <c r="W70" s="1">
        <f t="shared" ca="1" si="2"/>
        <v>4</v>
      </c>
      <c r="X70" s="1" cm="1">
        <f t="array" aca="1" ref="X70" ca="1">_xlfn.IFS(Deletions!W2=1,8%,Deletions!W2=2,10%,Deletions!W2&gt;2,10%,Deletions!W2&lt;1,0)</f>
        <v>0.1</v>
      </c>
      <c r="Y70" s="35" t="str">
        <f t="shared" si="3"/>
        <v>IMS</v>
      </c>
      <c r="Z70" s="40"/>
      <c r="AA70" s="1" t="str">
        <f>LEFT(PMS_Catalog[[#This Row],[WU Id]],3)</f>
        <v>IMS</v>
      </c>
    </row>
    <row r="71" spans="1:27" ht="39" customHeight="1">
      <c r="A71" s="1" t="s">
        <v>414</v>
      </c>
      <c r="B71" s="1" t="s">
        <v>78</v>
      </c>
      <c r="C71" s="1" t="s">
        <v>92</v>
      </c>
      <c r="D71" s="1" t="s">
        <v>406</v>
      </c>
      <c r="E71" s="1" t="s">
        <v>407</v>
      </c>
      <c r="F71" s="13" t="s">
        <v>408</v>
      </c>
      <c r="G71" s="21" t="s">
        <v>415</v>
      </c>
      <c r="H71" s="21" t="s">
        <v>410</v>
      </c>
      <c r="I71" s="1" t="s">
        <v>89</v>
      </c>
      <c r="J71" s="1" t="s">
        <v>89</v>
      </c>
      <c r="K71" s="1" t="s">
        <v>416</v>
      </c>
      <c r="L71" s="1" t="s">
        <v>417</v>
      </c>
      <c r="M71" s="2">
        <v>21.75</v>
      </c>
      <c r="N71" s="34" t="s">
        <v>7</v>
      </c>
      <c r="O71" s="34" t="str">
        <f>IF(ISNUMBER(SEARCH("IMS",PMS_Catalog[[#This Row],[WU Id]])),"IMS",PMS_Catalog[[#This Row],[UNIQUE PRICE per hour]]*PMS_Catalog[[#This Row],[PMS Effort (Hours)]])</f>
        <v>IMS</v>
      </c>
      <c r="P71" s="34">
        <v>5</v>
      </c>
      <c r="Q71" s="53" t="s">
        <v>88</v>
      </c>
      <c r="R71" s="1" t="s">
        <v>89</v>
      </c>
      <c r="S71" s="1"/>
      <c r="T71" s="31">
        <v>44768</v>
      </c>
      <c r="U71" s="1" t="s">
        <v>90</v>
      </c>
      <c r="V71" s="31">
        <v>44652</v>
      </c>
      <c r="W71" s="1">
        <f t="shared" ca="1" si="2"/>
        <v>4</v>
      </c>
      <c r="X71" s="1" cm="1">
        <f t="array" aca="1" ref="X71" ca="1">_xlfn.IFS(W70=1,8%,W70=2,10%,W70&gt;2,10%,W70&lt;1,0)</f>
        <v>0.1</v>
      </c>
      <c r="Y71" s="35" t="str">
        <f t="shared" si="3"/>
        <v>IMS</v>
      </c>
      <c r="Z71" s="40"/>
      <c r="AA71" s="1" t="str">
        <f>LEFT(PMS_Catalog[[#This Row],[WU Id]],3)</f>
        <v>IMS</v>
      </c>
    </row>
    <row r="72" spans="1:27" ht="39" customHeight="1">
      <c r="A72" s="1" t="s">
        <v>418</v>
      </c>
      <c r="B72" s="1" t="s">
        <v>78</v>
      </c>
      <c r="C72" s="1" t="s">
        <v>92</v>
      </c>
      <c r="D72" s="1" t="s">
        <v>269</v>
      </c>
      <c r="E72" s="1" t="s">
        <v>406</v>
      </c>
      <c r="F72" s="13" t="s">
        <v>155</v>
      </c>
      <c r="G72" s="21" t="s">
        <v>419</v>
      </c>
      <c r="H72" s="21" t="s">
        <v>420</v>
      </c>
      <c r="I72" s="1" t="s">
        <v>89</v>
      </c>
      <c r="J72" s="1" t="s">
        <v>89</v>
      </c>
      <c r="K72" s="1" t="s">
        <v>89</v>
      </c>
      <c r="L72" s="1" t="s">
        <v>89</v>
      </c>
      <c r="M72" s="2">
        <v>21.75</v>
      </c>
      <c r="N72" s="34" t="s">
        <v>7</v>
      </c>
      <c r="O72" s="34" t="str">
        <f>IF(ISNUMBER(SEARCH("IMS",PMS_Catalog[[#This Row],[WU Id]])),"IMS",PMS_Catalog[[#This Row],[UNIQUE PRICE per hour]]*PMS_Catalog[[#This Row],[PMS Effort (Hours)]])</f>
        <v>IMS</v>
      </c>
      <c r="P72" s="34" t="s">
        <v>99</v>
      </c>
      <c r="Q72" s="53" t="s">
        <v>88</v>
      </c>
      <c r="R72" s="1" t="s">
        <v>89</v>
      </c>
      <c r="S72" s="1"/>
      <c r="T72" s="31">
        <v>44768</v>
      </c>
      <c r="U72" s="1" t="s">
        <v>90</v>
      </c>
      <c r="V72" s="31">
        <v>44652</v>
      </c>
      <c r="W72" s="1">
        <f t="shared" ca="1" si="2"/>
        <v>4</v>
      </c>
      <c r="X72" s="1" cm="1">
        <f t="array" aca="1" ref="X72" ca="1">_xlfn.IFS(W71=1,8%,W71=2,10%,W71&gt;2,10%,W71&lt;1,0)</f>
        <v>0.1</v>
      </c>
      <c r="Y72" s="35" t="str">
        <f t="shared" si="3"/>
        <v>IMS</v>
      </c>
      <c r="Z72" s="40"/>
      <c r="AA72" s="1" t="str">
        <f>LEFT(PMS_Catalog[[#This Row],[WU Id]],3)</f>
        <v>IMS</v>
      </c>
    </row>
    <row r="73" spans="1:27" ht="39" customHeight="1">
      <c r="A73" s="1" t="s">
        <v>421</v>
      </c>
      <c r="B73" s="1" t="s">
        <v>78</v>
      </c>
      <c r="C73" s="1" t="s">
        <v>92</v>
      </c>
      <c r="D73" s="1" t="s">
        <v>269</v>
      </c>
      <c r="E73" s="1" t="s">
        <v>407</v>
      </c>
      <c r="F73" s="13" t="s">
        <v>422</v>
      </c>
      <c r="G73" s="21" t="s">
        <v>423</v>
      </c>
      <c r="H73" s="21" t="s">
        <v>424</v>
      </c>
      <c r="I73" s="1" t="s">
        <v>89</v>
      </c>
      <c r="J73" s="1" t="s">
        <v>89</v>
      </c>
      <c r="K73" s="1" t="s">
        <v>89</v>
      </c>
      <c r="L73" s="1" t="s">
        <v>413</v>
      </c>
      <c r="M73" s="2">
        <v>21.75</v>
      </c>
      <c r="N73" s="34" t="s">
        <v>7</v>
      </c>
      <c r="O73" s="34" t="str">
        <f>IF(ISNUMBER(SEARCH("IMS",PMS_Catalog[[#This Row],[WU Id]])),"IMS",PMS_Catalog[[#This Row],[UNIQUE PRICE per hour]]*PMS_Catalog[[#This Row],[PMS Effort (Hours)]])</f>
        <v>IMS</v>
      </c>
      <c r="P73" s="34">
        <v>5</v>
      </c>
      <c r="Q73" s="53" t="s">
        <v>88</v>
      </c>
      <c r="R73" s="1" t="s">
        <v>89</v>
      </c>
      <c r="S73" s="1"/>
      <c r="T73" s="31">
        <v>44768</v>
      </c>
      <c r="U73" s="1" t="s">
        <v>90</v>
      </c>
      <c r="V73" s="31">
        <v>44652</v>
      </c>
      <c r="W73" s="1">
        <f t="shared" ca="1" si="2"/>
        <v>4</v>
      </c>
      <c r="X73" s="1" cm="1">
        <f t="array" aca="1" ref="X73" ca="1">_xlfn.IFS(W72=1,8%,W72=2,10%,W72&gt;2,10%,W72&lt;1,0)</f>
        <v>0.1</v>
      </c>
      <c r="Y73" s="35" t="str">
        <f t="shared" si="3"/>
        <v>IMS</v>
      </c>
      <c r="Z73" s="40"/>
      <c r="AA73" s="1" t="str">
        <f>LEFT(PMS_Catalog[[#This Row],[WU Id]],3)</f>
        <v>IMS</v>
      </c>
    </row>
    <row r="74" spans="1:27" ht="39" customHeight="1">
      <c r="A74" s="1" t="s">
        <v>425</v>
      </c>
      <c r="B74" s="1" t="s">
        <v>78</v>
      </c>
      <c r="C74" s="1" t="s">
        <v>92</v>
      </c>
      <c r="D74" s="1" t="s">
        <v>217</v>
      </c>
      <c r="E74" s="1" t="s">
        <v>218</v>
      </c>
      <c r="F74" s="11" t="s">
        <v>192</v>
      </c>
      <c r="G74" s="21" t="s">
        <v>219</v>
      </c>
      <c r="H74" s="21" t="s">
        <v>426</v>
      </c>
      <c r="I74" s="1" t="s">
        <v>89</v>
      </c>
      <c r="J74" s="1" t="s">
        <v>89</v>
      </c>
      <c r="K74" s="1" t="s">
        <v>89</v>
      </c>
      <c r="L74" s="1" t="s">
        <v>224</v>
      </c>
      <c r="M74" s="2">
        <v>21.75</v>
      </c>
      <c r="N74" s="30">
        <v>4</v>
      </c>
      <c r="O74" s="30">
        <f>IF(ISNUMBER(SEARCH("IMS",PMS_Catalog[[#This Row],[WU Id]])),"IMS",PMS_Catalog[[#This Row],[UNIQUE PRICE per hour]]*PMS_Catalog[[#This Row],[PMS Effort (Hours)]])</f>
        <v>87</v>
      </c>
      <c r="P74" s="30">
        <v>10</v>
      </c>
      <c r="Q74" s="53" t="s">
        <v>88</v>
      </c>
      <c r="R74" s="1" t="s">
        <v>89</v>
      </c>
      <c r="S74" s="1"/>
      <c r="T74" s="31">
        <v>44768</v>
      </c>
      <c r="U74" s="1" t="s">
        <v>90</v>
      </c>
      <c r="V74" s="31">
        <v>44652</v>
      </c>
      <c r="W74" s="1">
        <f t="shared" ca="1" si="2"/>
        <v>4</v>
      </c>
      <c r="X74" s="1" cm="1">
        <f t="array" aca="1" ref="X74" ca="1">_xlfn.IFS(Deletions!W3=1,8%,Deletions!W3=2,10%,Deletions!W3&gt;2,10%,Deletions!W3&lt;1,0)</f>
        <v>0.1</v>
      </c>
      <c r="Y74" s="35">
        <f t="shared" ca="1" si="3"/>
        <v>78.3</v>
      </c>
      <c r="Z74" s="40"/>
      <c r="AA74" s="1" t="str">
        <f>LEFT(PMS_Catalog[[#This Row],[WU Id]],3)</f>
        <v>PMS</v>
      </c>
    </row>
    <row r="75" spans="1:27" ht="39" customHeight="1">
      <c r="A75" s="1" t="s">
        <v>427</v>
      </c>
      <c r="B75" s="1" t="s">
        <v>78</v>
      </c>
      <c r="C75" s="1" t="s">
        <v>92</v>
      </c>
      <c r="D75" s="1" t="s">
        <v>217</v>
      </c>
      <c r="E75" s="1" t="s">
        <v>218</v>
      </c>
      <c r="F75" s="11" t="s">
        <v>192</v>
      </c>
      <c r="G75" s="21" t="s">
        <v>226</v>
      </c>
      <c r="H75" s="21" t="s">
        <v>428</v>
      </c>
      <c r="I75" s="1" t="s">
        <v>89</v>
      </c>
      <c r="J75" s="1" t="s">
        <v>89</v>
      </c>
      <c r="K75" s="1" t="s">
        <v>89</v>
      </c>
      <c r="L75" s="1" t="s">
        <v>429</v>
      </c>
      <c r="M75" s="2">
        <v>21.75</v>
      </c>
      <c r="N75" s="30">
        <v>12</v>
      </c>
      <c r="O75" s="30">
        <f>IF(ISNUMBER(SEARCH("IMS",PMS_Catalog[[#This Row],[WU Id]])),"IMS",PMS_Catalog[[#This Row],[UNIQUE PRICE per hour]]*PMS_Catalog[[#This Row],[PMS Effort (Hours)]])</f>
        <v>261</v>
      </c>
      <c r="P75" s="30">
        <v>10</v>
      </c>
      <c r="Q75" s="53" t="s">
        <v>88</v>
      </c>
      <c r="R75" s="1" t="s">
        <v>89</v>
      </c>
      <c r="S75" s="1"/>
      <c r="T75" s="31">
        <v>44768</v>
      </c>
      <c r="U75" s="1" t="s">
        <v>90</v>
      </c>
      <c r="V75" s="31">
        <v>44652</v>
      </c>
      <c r="W75" s="1">
        <f t="shared" ca="1" si="2"/>
        <v>4</v>
      </c>
      <c r="X75" s="1" cm="1">
        <f t="array" aca="1" ref="X75" ca="1">_xlfn.IFS(W74=1,8%,W74=2,10%,W74&gt;2,10%,W74&lt;1,0)</f>
        <v>0.1</v>
      </c>
      <c r="Y75" s="35">
        <f t="shared" ca="1" si="3"/>
        <v>234.9</v>
      </c>
      <c r="Z75" s="40"/>
      <c r="AA75" s="1" t="str">
        <f>LEFT(PMS_Catalog[[#This Row],[WU Id]],3)</f>
        <v>PMS</v>
      </c>
    </row>
    <row r="76" spans="1:27" ht="39" customHeight="1">
      <c r="A76" s="1" t="s">
        <v>430</v>
      </c>
      <c r="B76" s="1" t="s">
        <v>78</v>
      </c>
      <c r="C76" s="1" t="s">
        <v>92</v>
      </c>
      <c r="D76" s="1" t="s">
        <v>217</v>
      </c>
      <c r="E76" s="1" t="s">
        <v>218</v>
      </c>
      <c r="F76" s="11" t="s">
        <v>280</v>
      </c>
      <c r="G76" s="21" t="s">
        <v>431</v>
      </c>
      <c r="H76" s="21" t="s">
        <v>432</v>
      </c>
      <c r="I76" s="1" t="s">
        <v>89</v>
      </c>
      <c r="J76" s="1" t="s">
        <v>89</v>
      </c>
      <c r="K76" s="1" t="s">
        <v>89</v>
      </c>
      <c r="L76" s="1" t="s">
        <v>197</v>
      </c>
      <c r="M76" s="2">
        <v>21.75</v>
      </c>
      <c r="N76" s="30">
        <v>19</v>
      </c>
      <c r="O76" s="30">
        <f>IF(ISNUMBER(SEARCH("IMS",PMS_Catalog[[#This Row],[WU Id]])),"IMS",PMS_Catalog[[#This Row],[UNIQUE PRICE per hour]]*PMS_Catalog[[#This Row],[PMS Effort (Hours)]])</f>
        <v>413.25</v>
      </c>
      <c r="P76" s="30">
        <v>15</v>
      </c>
      <c r="Q76" s="53" t="s">
        <v>88</v>
      </c>
      <c r="R76" s="1" t="s">
        <v>89</v>
      </c>
      <c r="S76" s="1"/>
      <c r="T76" s="31">
        <v>44768</v>
      </c>
      <c r="U76" s="1" t="s">
        <v>90</v>
      </c>
      <c r="V76" s="31">
        <v>44652</v>
      </c>
      <c r="W76" s="1">
        <f t="shared" ca="1" si="2"/>
        <v>4</v>
      </c>
      <c r="X76" s="1" cm="1">
        <f t="array" aca="1" ref="X76" ca="1">_xlfn.IFS(W75=1,8%,W75=2,10%,W75&gt;2,10%,W75&lt;1,0)</f>
        <v>0.1</v>
      </c>
      <c r="Y76" s="35">
        <f t="shared" ca="1" si="3"/>
        <v>371.92500000000001</v>
      </c>
      <c r="Z76" s="40"/>
      <c r="AA76" s="1" t="str">
        <f>LEFT(PMS_Catalog[[#This Row],[WU Id]],3)</f>
        <v>PMS</v>
      </c>
    </row>
    <row r="77" spans="1:27" ht="39" customHeight="1">
      <c r="A77" s="1" t="s">
        <v>433</v>
      </c>
      <c r="B77" s="1" t="s">
        <v>78</v>
      </c>
      <c r="C77" s="1" t="s">
        <v>131</v>
      </c>
      <c r="D77" s="1" t="s">
        <v>217</v>
      </c>
      <c r="E77" s="1" t="s">
        <v>218</v>
      </c>
      <c r="F77" s="11" t="s">
        <v>192</v>
      </c>
      <c r="G77" s="21" t="s">
        <v>403</v>
      </c>
      <c r="H77" s="21" t="s">
        <v>434</v>
      </c>
      <c r="I77" s="1" t="s">
        <v>89</v>
      </c>
      <c r="J77" s="1" t="s">
        <v>89</v>
      </c>
      <c r="K77" s="1" t="s">
        <v>228</v>
      </c>
      <c r="L77" s="1" t="s">
        <v>277</v>
      </c>
      <c r="M77" s="2">
        <v>21.75</v>
      </c>
      <c r="N77" s="30">
        <v>5.0999999999999996</v>
      </c>
      <c r="O77" s="30">
        <f>IF(ISNUMBER(SEARCH("IMS",PMS_Catalog[[#This Row],[WU Id]])),"IMS",PMS_Catalog[[#This Row],[UNIQUE PRICE per hour]]*PMS_Catalog[[#This Row],[PMS Effort (Hours)]])</f>
        <v>110.925</v>
      </c>
      <c r="P77" s="30">
        <v>5</v>
      </c>
      <c r="Q77" s="53" t="s">
        <v>88</v>
      </c>
      <c r="R77" s="1" t="s">
        <v>89</v>
      </c>
      <c r="S77" s="1"/>
      <c r="T77" s="31">
        <v>44768</v>
      </c>
      <c r="U77" s="1" t="s">
        <v>90</v>
      </c>
      <c r="V77" s="31">
        <v>44652</v>
      </c>
      <c r="W77" s="1">
        <f t="shared" ca="1" si="2"/>
        <v>4</v>
      </c>
      <c r="X77" s="1" cm="1">
        <f t="array" aca="1" ref="X77" ca="1">_xlfn.IFS(W76=1,8%,W76=2,10%,W76&gt;2,10%,W76&lt;1,0)</f>
        <v>0.1</v>
      </c>
      <c r="Y77" s="35">
        <f t="shared" ca="1" si="3"/>
        <v>99.832499999999996</v>
      </c>
      <c r="Z77" s="40"/>
      <c r="AA77" s="1" t="str">
        <f>LEFT(PMS_Catalog[[#This Row],[WU Id]],3)</f>
        <v>PMS</v>
      </c>
    </row>
    <row r="78" spans="1:27" ht="39" customHeight="1">
      <c r="A78" s="1" t="s">
        <v>435</v>
      </c>
      <c r="B78" s="1" t="s">
        <v>78</v>
      </c>
      <c r="C78" s="1" t="s">
        <v>131</v>
      </c>
      <c r="D78" s="1" t="s">
        <v>217</v>
      </c>
      <c r="E78" s="1" t="s">
        <v>218</v>
      </c>
      <c r="F78" s="11" t="s">
        <v>280</v>
      </c>
      <c r="G78" s="21" t="s">
        <v>431</v>
      </c>
      <c r="H78" s="21" t="s">
        <v>436</v>
      </c>
      <c r="I78" s="1" t="s">
        <v>89</v>
      </c>
      <c r="J78" s="1" t="s">
        <v>89</v>
      </c>
      <c r="K78" s="1" t="s">
        <v>89</v>
      </c>
      <c r="L78" s="1" t="s">
        <v>197</v>
      </c>
      <c r="M78" s="2">
        <v>21.75</v>
      </c>
      <c r="N78" s="30">
        <v>6.8</v>
      </c>
      <c r="O78" s="30">
        <f>IF(ISNUMBER(SEARCH("IMS",PMS_Catalog[[#This Row],[WU Id]])),"IMS",PMS_Catalog[[#This Row],[UNIQUE PRICE per hour]]*PMS_Catalog[[#This Row],[PMS Effort (Hours)]])</f>
        <v>147.9</v>
      </c>
      <c r="P78" s="30">
        <v>15</v>
      </c>
      <c r="Q78" s="53" t="s">
        <v>88</v>
      </c>
      <c r="R78" s="1" t="s">
        <v>89</v>
      </c>
      <c r="S78" s="1"/>
      <c r="T78" s="31">
        <v>44768</v>
      </c>
      <c r="U78" s="1" t="s">
        <v>90</v>
      </c>
      <c r="V78" s="31">
        <v>44652</v>
      </c>
      <c r="W78" s="1">
        <f t="shared" ca="1" si="2"/>
        <v>4</v>
      </c>
      <c r="X78" s="1" cm="1">
        <f t="array" aca="1" ref="X78" ca="1">_xlfn.IFS(W77=1,8%,W77=2,10%,W77&gt;2,10%,W77&lt;1,0)</f>
        <v>0.1</v>
      </c>
      <c r="Y78" s="35">
        <f t="shared" ca="1" si="3"/>
        <v>133.11000000000001</v>
      </c>
      <c r="Z78" s="40"/>
      <c r="AA78" s="1" t="str">
        <f>LEFT(PMS_Catalog[[#This Row],[WU Id]],3)</f>
        <v>PMS</v>
      </c>
    </row>
    <row r="79" spans="1:27" ht="39" customHeight="1">
      <c r="A79" s="1" t="s">
        <v>437</v>
      </c>
      <c r="B79" s="1" t="s">
        <v>78</v>
      </c>
      <c r="C79" s="1" t="s">
        <v>92</v>
      </c>
      <c r="D79" s="1" t="s">
        <v>438</v>
      </c>
      <c r="E79" s="1" t="s">
        <v>439</v>
      </c>
      <c r="F79" s="11" t="s">
        <v>192</v>
      </c>
      <c r="G79" s="21" t="s">
        <v>440</v>
      </c>
      <c r="H79" s="21" t="s">
        <v>441</v>
      </c>
      <c r="I79" s="1" t="s">
        <v>89</v>
      </c>
      <c r="J79" s="1" t="s">
        <v>89</v>
      </c>
      <c r="K79" s="1" t="s">
        <v>89</v>
      </c>
      <c r="L79" s="1" t="s">
        <v>442</v>
      </c>
      <c r="M79" s="2">
        <v>21.75</v>
      </c>
      <c r="N79" s="30">
        <v>48.449999999999996</v>
      </c>
      <c r="O79" s="30">
        <f>IF(ISNUMBER(SEARCH("IMS",PMS_Catalog[[#This Row],[WU Id]])),"IMS",PMS_Catalog[[#This Row],[UNIQUE PRICE per hour]]*PMS_Catalog[[#This Row],[PMS Effort (Hours)]])</f>
        <v>1053.7874999999999</v>
      </c>
      <c r="P79" s="30">
        <v>10</v>
      </c>
      <c r="Q79" s="53" t="s">
        <v>88</v>
      </c>
      <c r="R79" s="1" t="s">
        <v>89</v>
      </c>
      <c r="S79" s="1"/>
      <c r="T79" s="31">
        <v>44768</v>
      </c>
      <c r="U79" s="1" t="s">
        <v>90</v>
      </c>
      <c r="V79" s="31">
        <v>44652</v>
      </c>
      <c r="W79" s="1">
        <f t="shared" ca="1" si="2"/>
        <v>4</v>
      </c>
      <c r="X79" s="1" cm="1">
        <f t="array" aca="1" ref="X79" ca="1">_xlfn.IFS(W78=1,8%,W78=2,10%,W78&gt;2,10%,W78&lt;1,0)</f>
        <v>0.1</v>
      </c>
      <c r="Y79" s="35">
        <f t="shared" ca="1" si="3"/>
        <v>948.40874999999994</v>
      </c>
      <c r="Z79" s="40"/>
      <c r="AA79" s="1" t="str">
        <f>LEFT(PMS_Catalog[[#This Row],[WU Id]],3)</f>
        <v>PMS</v>
      </c>
    </row>
    <row r="80" spans="1:27" ht="39" customHeight="1">
      <c r="A80" s="1" t="s">
        <v>443</v>
      </c>
      <c r="B80" s="1" t="s">
        <v>78</v>
      </c>
      <c r="C80" s="1" t="s">
        <v>92</v>
      </c>
      <c r="D80" s="1" t="s">
        <v>438</v>
      </c>
      <c r="E80" s="1" t="s">
        <v>439</v>
      </c>
      <c r="F80" s="11" t="s">
        <v>192</v>
      </c>
      <c r="G80" s="21" t="s">
        <v>444</v>
      </c>
      <c r="H80" s="21" t="s">
        <v>445</v>
      </c>
      <c r="I80" s="1" t="s">
        <v>446</v>
      </c>
      <c r="J80" s="1" t="s">
        <v>447</v>
      </c>
      <c r="K80" s="1" t="s">
        <v>89</v>
      </c>
      <c r="L80" s="1" t="s">
        <v>448</v>
      </c>
      <c r="M80" s="2">
        <v>21.75</v>
      </c>
      <c r="N80" s="30">
        <v>18</v>
      </c>
      <c r="O80" s="30">
        <f>IF(ISNUMBER(SEARCH("IMS",PMS_Catalog[[#This Row],[WU Id]])),"IMS",PMS_Catalog[[#This Row],[UNIQUE PRICE per hour]]*PMS_Catalog[[#This Row],[PMS Effort (Hours)]])</f>
        <v>391.5</v>
      </c>
      <c r="P80" s="30">
        <v>15</v>
      </c>
      <c r="Q80" s="53" t="s">
        <v>88</v>
      </c>
      <c r="R80" s="1" t="s">
        <v>89</v>
      </c>
      <c r="S80" s="1"/>
      <c r="T80" s="31">
        <v>44768</v>
      </c>
      <c r="U80" s="1" t="s">
        <v>90</v>
      </c>
      <c r="V80" s="31">
        <v>44652</v>
      </c>
      <c r="W80" s="1">
        <f t="shared" ca="1" si="2"/>
        <v>4</v>
      </c>
      <c r="X80" s="1" cm="1">
        <f t="array" aca="1" ref="X80" ca="1">_xlfn.IFS(W79=1,8%,W79=2,10%,W79&gt;2,10%,W79&lt;1,0)</f>
        <v>0.1</v>
      </c>
      <c r="Y80" s="35">
        <f t="shared" ca="1" si="3"/>
        <v>352.35</v>
      </c>
      <c r="Z80" s="40"/>
      <c r="AA80" s="1" t="str">
        <f>LEFT(PMS_Catalog[[#This Row],[WU Id]],3)</f>
        <v>PMS</v>
      </c>
    </row>
    <row r="81" spans="1:27" ht="39" customHeight="1">
      <c r="A81" s="1" t="s">
        <v>449</v>
      </c>
      <c r="B81" s="1" t="s">
        <v>78</v>
      </c>
      <c r="C81" s="1" t="s">
        <v>92</v>
      </c>
      <c r="D81" s="1" t="s">
        <v>450</v>
      </c>
      <c r="E81" s="1" t="s">
        <v>451</v>
      </c>
      <c r="F81" s="12" t="s">
        <v>192</v>
      </c>
      <c r="G81" s="21" t="s">
        <v>452</v>
      </c>
      <c r="H81" s="21" t="s">
        <v>453</v>
      </c>
      <c r="I81" s="1" t="s">
        <v>454</v>
      </c>
      <c r="J81" s="75" t="s">
        <v>455</v>
      </c>
      <c r="K81" s="1" t="s">
        <v>89</v>
      </c>
      <c r="L81" s="1" t="s">
        <v>456</v>
      </c>
      <c r="M81" s="2" t="s">
        <v>457</v>
      </c>
      <c r="N81" s="30" t="s">
        <v>457</v>
      </c>
      <c r="O81" s="30">
        <f>IF(PMS_Catalog[[#This Row],[WRITE HERE THE NUMBER that you need for : JOBS for PMS_WU_7003 and 7002 OR  for WU PMS_WU_2017 and 2020 and 2241 and 2242]]=0,0,25+((PMS_Catalog[[#This Row],[WRITE HERE THE NUMBER that you need for : JOBS for PMS_WU_7003 and 7002 OR  for WU PMS_WU_2017 and 2020 and 2241 and 2242]]-1)*25*0.6))</f>
        <v>0</v>
      </c>
      <c r="P81" s="30" t="s">
        <v>458</v>
      </c>
      <c r="Q81" s="53" t="s">
        <v>88</v>
      </c>
      <c r="R81" s="1">
        <v>0.6</v>
      </c>
      <c r="S81" s="1" t="s">
        <v>459</v>
      </c>
      <c r="T81" s="31">
        <v>44768</v>
      </c>
      <c r="U81" s="1" t="s">
        <v>90</v>
      </c>
      <c r="V81" s="31">
        <v>44652</v>
      </c>
      <c r="W81" s="1">
        <f t="shared" ca="1" si="2"/>
        <v>4</v>
      </c>
      <c r="X81" s="1" cm="1">
        <f t="array" aca="1" ref="X81" ca="1">_xlfn.IFS(W80=1,8%,W80=2,10%,W80&gt;2,10%,W80&lt;1,0)</f>
        <v>0.1</v>
      </c>
      <c r="Y81" s="35">
        <f t="shared" ca="1" si="3"/>
        <v>0</v>
      </c>
      <c r="Z81" s="1">
        <v>0</v>
      </c>
      <c r="AA81" s="1" t="str">
        <f>LEFT(PMS_Catalog[[#This Row],[WU Id]],3)</f>
        <v>PMS</v>
      </c>
    </row>
    <row r="82" spans="1:27" ht="39" customHeight="1">
      <c r="A82" s="1" t="s">
        <v>460</v>
      </c>
      <c r="B82" s="1" t="s">
        <v>78</v>
      </c>
      <c r="C82" s="1" t="s">
        <v>92</v>
      </c>
      <c r="D82" s="1" t="s">
        <v>461</v>
      </c>
      <c r="E82" s="1" t="s">
        <v>462</v>
      </c>
      <c r="F82" s="11" t="s">
        <v>192</v>
      </c>
      <c r="G82" s="21" t="s">
        <v>463</v>
      </c>
      <c r="H82" s="21" t="s">
        <v>464</v>
      </c>
      <c r="I82" s="1" t="s">
        <v>89</v>
      </c>
      <c r="J82" s="1" t="s">
        <v>89</v>
      </c>
      <c r="K82" s="1" t="s">
        <v>89</v>
      </c>
      <c r="L82" s="1" t="s">
        <v>465</v>
      </c>
      <c r="M82" s="2">
        <v>21.75</v>
      </c>
      <c r="N82" s="30">
        <v>10.199999999999999</v>
      </c>
      <c r="O82" s="30">
        <f>IF(ISNUMBER(SEARCH("IMS",PMS_Catalog[[#This Row],[WU Id]])),"IMS",PMS_Catalog[[#This Row],[UNIQUE PRICE per hour]]*PMS_Catalog[[#This Row],[PMS Effort (Hours)]])</f>
        <v>221.85</v>
      </c>
      <c r="P82" s="30">
        <v>6</v>
      </c>
      <c r="Q82" s="53" t="s">
        <v>88</v>
      </c>
      <c r="R82" s="1" t="s">
        <v>89</v>
      </c>
      <c r="S82" s="1"/>
      <c r="T82" s="31">
        <v>44768</v>
      </c>
      <c r="U82" s="1" t="s">
        <v>90</v>
      </c>
      <c r="V82" s="31">
        <v>44652</v>
      </c>
      <c r="W82" s="1">
        <f t="shared" ca="1" si="2"/>
        <v>4</v>
      </c>
      <c r="X82" s="1" cm="1">
        <f t="array" aca="1" ref="X82" ca="1">_xlfn.IFS(W81=1,8%,W81=2,10%,W81&gt;2,10%,W81&lt;1,0)</f>
        <v>0.1</v>
      </c>
      <c r="Y82" s="35">
        <f t="shared" ca="1" si="3"/>
        <v>199.66499999999999</v>
      </c>
      <c r="Z82" s="40"/>
      <c r="AA82" s="1" t="str">
        <f>LEFT(PMS_Catalog[[#This Row],[WU Id]],3)</f>
        <v>PMS</v>
      </c>
    </row>
    <row r="83" spans="1:27" ht="124.35" customHeight="1">
      <c r="A83" s="1" t="s">
        <v>466</v>
      </c>
      <c r="B83" s="1" t="s">
        <v>78</v>
      </c>
      <c r="C83" s="1" t="s">
        <v>92</v>
      </c>
      <c r="D83" s="1" t="s">
        <v>467</v>
      </c>
      <c r="E83" s="1" t="s">
        <v>218</v>
      </c>
      <c r="F83" s="11" t="s">
        <v>280</v>
      </c>
      <c r="G83" s="21" t="s">
        <v>468</v>
      </c>
      <c r="H83" s="21" t="s">
        <v>432</v>
      </c>
      <c r="I83" s="1" t="s">
        <v>89</v>
      </c>
      <c r="J83" s="1" t="s">
        <v>89</v>
      </c>
      <c r="K83" s="1" t="s">
        <v>89</v>
      </c>
      <c r="L83" s="1" t="s">
        <v>197</v>
      </c>
      <c r="M83" s="2">
        <v>21.75</v>
      </c>
      <c r="N83" s="30">
        <v>19</v>
      </c>
      <c r="O83" s="30">
        <f>IF(ISNUMBER(SEARCH("IMS",PMS_Catalog[[#This Row],[WU Id]])),"IMS",PMS_Catalog[[#This Row],[UNIQUE PRICE per hour]]*PMS_Catalog[[#This Row],[PMS Effort (Hours)]])</f>
        <v>413.25</v>
      </c>
      <c r="P83" s="30">
        <v>15</v>
      </c>
      <c r="Q83" s="53" t="s">
        <v>88</v>
      </c>
      <c r="R83" s="1" t="s">
        <v>89</v>
      </c>
      <c r="S83" s="1"/>
      <c r="T83" s="31">
        <v>44768</v>
      </c>
      <c r="U83" s="1" t="s">
        <v>90</v>
      </c>
      <c r="V83" s="31">
        <v>44652</v>
      </c>
      <c r="W83" s="1">
        <f t="shared" ca="1" si="2"/>
        <v>4</v>
      </c>
      <c r="X83" s="1" cm="1">
        <f t="array" aca="1" ref="X83" ca="1">_xlfn.IFS(W82=1,8%,W82=2,10%,W82&gt;2,10%,W82&lt;1,0)</f>
        <v>0.1</v>
      </c>
      <c r="Y83" s="35">
        <f t="shared" ca="1" si="3"/>
        <v>371.92500000000001</v>
      </c>
      <c r="Z83" s="40"/>
      <c r="AA83" s="1" t="str">
        <f>LEFT(PMS_Catalog[[#This Row],[WU Id]],3)</f>
        <v>PMS</v>
      </c>
    </row>
    <row r="84" spans="1:27" ht="155.85" customHeight="1">
      <c r="A84" s="1" t="s">
        <v>469</v>
      </c>
      <c r="B84" s="1" t="s">
        <v>78</v>
      </c>
      <c r="C84" s="1" t="s">
        <v>92</v>
      </c>
      <c r="D84" s="1" t="s">
        <v>230</v>
      </c>
      <c r="E84" s="1" t="s">
        <v>231</v>
      </c>
      <c r="F84" s="11" t="s">
        <v>192</v>
      </c>
      <c r="G84" s="21" t="s">
        <v>301</v>
      </c>
      <c r="H84" s="21" t="s">
        <v>470</v>
      </c>
      <c r="I84" s="1" t="s">
        <v>89</v>
      </c>
      <c r="J84" s="1" t="s">
        <v>89</v>
      </c>
      <c r="K84" s="1" t="s">
        <v>89</v>
      </c>
      <c r="L84" s="1" t="s">
        <v>246</v>
      </c>
      <c r="M84" s="2">
        <v>21.75</v>
      </c>
      <c r="N84" s="30">
        <v>10</v>
      </c>
      <c r="O84" s="30">
        <f>IF(ISNUMBER(SEARCH("IMS",PMS_Catalog[[#This Row],[WU Id]])),"IMS",PMS_Catalog[[#This Row],[UNIQUE PRICE per hour]]*PMS_Catalog[[#This Row],[PMS Effort (Hours)]])</f>
        <v>217.5</v>
      </c>
      <c r="P84" s="30">
        <v>10</v>
      </c>
      <c r="Q84" s="53" t="s">
        <v>88</v>
      </c>
      <c r="R84" s="1" t="s">
        <v>89</v>
      </c>
      <c r="S84" s="1"/>
      <c r="T84" s="31">
        <v>44768</v>
      </c>
      <c r="U84" s="1" t="s">
        <v>90</v>
      </c>
      <c r="V84" s="31">
        <v>44652</v>
      </c>
      <c r="W84" s="1">
        <f t="shared" ca="1" si="2"/>
        <v>4</v>
      </c>
      <c r="X84" s="1" cm="1">
        <f t="array" aca="1" ref="X84" ca="1">_xlfn.IFS(W83=1,8%,W83=2,10%,W83&gt;2,10%,W83&lt;1,0)</f>
        <v>0.1</v>
      </c>
      <c r="Y84" s="35">
        <f t="shared" ca="1" si="3"/>
        <v>195.75</v>
      </c>
      <c r="Z84" s="40"/>
      <c r="AA84" s="1" t="str">
        <f>LEFT(PMS_Catalog[[#This Row],[WU Id]],3)</f>
        <v>PMS</v>
      </c>
    </row>
    <row r="85" spans="1:27" ht="39" customHeight="1">
      <c r="A85" s="1" t="s">
        <v>471</v>
      </c>
      <c r="B85" s="1" t="s">
        <v>78</v>
      </c>
      <c r="C85" s="1" t="s">
        <v>92</v>
      </c>
      <c r="D85" s="1" t="s">
        <v>230</v>
      </c>
      <c r="E85" s="1" t="s">
        <v>231</v>
      </c>
      <c r="F85" s="11" t="s">
        <v>192</v>
      </c>
      <c r="G85" s="21" t="s">
        <v>244</v>
      </c>
      <c r="H85" s="21" t="s">
        <v>472</v>
      </c>
      <c r="I85" s="1" t="s">
        <v>89</v>
      </c>
      <c r="J85" s="1" t="s">
        <v>89</v>
      </c>
      <c r="K85" s="1" t="s">
        <v>89</v>
      </c>
      <c r="L85" s="1" t="s">
        <v>246</v>
      </c>
      <c r="M85" s="2">
        <v>21.75</v>
      </c>
      <c r="N85" s="30">
        <v>13</v>
      </c>
      <c r="O85" s="30">
        <f>IF(ISNUMBER(SEARCH("IMS",PMS_Catalog[[#This Row],[WU Id]])),"IMS",PMS_Catalog[[#This Row],[UNIQUE PRICE per hour]]*PMS_Catalog[[#This Row],[PMS Effort (Hours)]])</f>
        <v>282.75</v>
      </c>
      <c r="P85" s="30">
        <v>12</v>
      </c>
      <c r="Q85" s="53" t="s">
        <v>88</v>
      </c>
      <c r="R85" s="1" t="s">
        <v>89</v>
      </c>
      <c r="S85" s="1"/>
      <c r="T85" s="31">
        <v>44768</v>
      </c>
      <c r="U85" s="1" t="s">
        <v>90</v>
      </c>
      <c r="V85" s="31">
        <v>44652</v>
      </c>
      <c r="W85" s="1">
        <f t="shared" ca="1" si="2"/>
        <v>4</v>
      </c>
      <c r="X85" s="1" cm="1">
        <f t="array" aca="1" ref="X85" ca="1">_xlfn.IFS(W84=1,8%,W84=2,10%,W84&gt;2,10%,W84&lt;1,0)</f>
        <v>0.1</v>
      </c>
      <c r="Y85" s="35">
        <f t="shared" ca="1" si="3"/>
        <v>254.47499999999999</v>
      </c>
      <c r="Z85" s="40"/>
      <c r="AA85" s="1" t="str">
        <f>LEFT(PMS_Catalog[[#This Row],[WU Id]],3)</f>
        <v>PMS</v>
      </c>
    </row>
    <row r="86" spans="1:27" ht="39" customHeight="1">
      <c r="A86" s="1" t="s">
        <v>473</v>
      </c>
      <c r="B86" s="1" t="s">
        <v>78</v>
      </c>
      <c r="C86" s="1" t="s">
        <v>92</v>
      </c>
      <c r="D86" s="1" t="s">
        <v>242</v>
      </c>
      <c r="E86" s="1" t="s">
        <v>243</v>
      </c>
      <c r="F86" s="11" t="s">
        <v>192</v>
      </c>
      <c r="G86" s="21" t="s">
        <v>474</v>
      </c>
      <c r="H86" s="21" t="s">
        <v>475</v>
      </c>
      <c r="I86" s="1" t="s">
        <v>89</v>
      </c>
      <c r="J86" s="1" t="s">
        <v>89</v>
      </c>
      <c r="K86" s="1" t="s">
        <v>239</v>
      </c>
      <c r="L86" s="1" t="s">
        <v>240</v>
      </c>
      <c r="M86" s="2">
        <v>21.75</v>
      </c>
      <c r="N86" s="30">
        <v>5</v>
      </c>
      <c r="O86" s="30">
        <f>IF(ISNUMBER(SEARCH("IMS",PMS_Catalog[[#This Row],[WU Id]])),"IMS",PMS_Catalog[[#This Row],[UNIQUE PRICE per hour]]*PMS_Catalog[[#This Row],[PMS Effort (Hours)]])</f>
        <v>108.75</v>
      </c>
      <c r="P86" s="30">
        <v>7</v>
      </c>
      <c r="Q86" s="53" t="s">
        <v>88</v>
      </c>
      <c r="R86" s="1" t="s">
        <v>89</v>
      </c>
      <c r="S86" s="1"/>
      <c r="T86" s="31">
        <v>44768</v>
      </c>
      <c r="U86" s="1" t="s">
        <v>90</v>
      </c>
      <c r="V86" s="31">
        <v>44652</v>
      </c>
      <c r="W86" s="1">
        <f t="shared" ca="1" si="2"/>
        <v>4</v>
      </c>
      <c r="X86" s="1" cm="1">
        <f t="array" aca="1" ref="X86" ca="1">_xlfn.IFS(W85=1,8%,W85=2,10%,W85&gt;2,10%,W85&lt;1,0)</f>
        <v>0.1</v>
      </c>
      <c r="Y86" s="35">
        <f t="shared" ca="1" si="3"/>
        <v>97.875</v>
      </c>
      <c r="Z86" s="40"/>
      <c r="AA86" s="1" t="str">
        <f>LEFT(PMS_Catalog[[#This Row],[WU Id]],3)</f>
        <v>PMS</v>
      </c>
    </row>
    <row r="87" spans="1:27" ht="39" customHeight="1">
      <c r="A87" s="1" t="s">
        <v>476</v>
      </c>
      <c r="B87" s="1" t="s">
        <v>78</v>
      </c>
      <c r="C87" s="1" t="s">
        <v>92</v>
      </c>
      <c r="D87" s="1" t="s">
        <v>242</v>
      </c>
      <c r="E87" s="1" t="s">
        <v>243</v>
      </c>
      <c r="F87" s="11" t="s">
        <v>192</v>
      </c>
      <c r="G87" s="21" t="s">
        <v>477</v>
      </c>
      <c r="H87" s="21" t="s">
        <v>478</v>
      </c>
      <c r="I87" s="1" t="s">
        <v>89</v>
      </c>
      <c r="J87" s="1" t="s">
        <v>89</v>
      </c>
      <c r="K87" s="1" t="s">
        <v>234</v>
      </c>
      <c r="L87" s="1" t="s">
        <v>479</v>
      </c>
      <c r="M87" s="2">
        <v>21.75</v>
      </c>
      <c r="N87" s="30">
        <v>9</v>
      </c>
      <c r="O87" s="30">
        <f>IF(ISNUMBER(SEARCH("IMS",PMS_Catalog[[#This Row],[WU Id]])),"IMS",PMS_Catalog[[#This Row],[UNIQUE PRICE per hour]]*PMS_Catalog[[#This Row],[PMS Effort (Hours)]])</f>
        <v>195.75</v>
      </c>
      <c r="P87" s="30">
        <v>7</v>
      </c>
      <c r="Q87" s="53" t="s">
        <v>88</v>
      </c>
      <c r="R87" s="1" t="s">
        <v>89</v>
      </c>
      <c r="S87" s="1"/>
      <c r="T87" s="31">
        <v>44768</v>
      </c>
      <c r="U87" s="1" t="s">
        <v>90</v>
      </c>
      <c r="V87" s="31">
        <v>44652</v>
      </c>
      <c r="W87" s="1">
        <f t="shared" ca="1" si="2"/>
        <v>4</v>
      </c>
      <c r="X87" s="1" cm="1">
        <f t="array" aca="1" ref="X87" ca="1">_xlfn.IFS(W86=1,8%,W86=2,10%,W86&gt;2,10%,W86&lt;1,0)</f>
        <v>0.1</v>
      </c>
      <c r="Y87" s="35">
        <f t="shared" ca="1" si="3"/>
        <v>176.17500000000001</v>
      </c>
      <c r="Z87" s="40"/>
      <c r="AA87" s="1" t="str">
        <f>LEFT(PMS_Catalog[[#This Row],[WU Id]],3)</f>
        <v>PMS</v>
      </c>
    </row>
    <row r="88" spans="1:27" ht="39" customHeight="1">
      <c r="A88" s="1" t="s">
        <v>480</v>
      </c>
      <c r="B88" s="1" t="s">
        <v>78</v>
      </c>
      <c r="C88" s="1" t="s">
        <v>92</v>
      </c>
      <c r="D88" s="1" t="s">
        <v>242</v>
      </c>
      <c r="E88" s="1" t="s">
        <v>243</v>
      </c>
      <c r="F88" s="11" t="s">
        <v>192</v>
      </c>
      <c r="G88" s="21" t="s">
        <v>301</v>
      </c>
      <c r="H88" s="21" t="s">
        <v>302</v>
      </c>
      <c r="I88" s="1" t="s">
        <v>89</v>
      </c>
      <c r="J88" s="1" t="s">
        <v>89</v>
      </c>
      <c r="K88" s="1" t="s">
        <v>89</v>
      </c>
      <c r="L88" s="1" t="s">
        <v>246</v>
      </c>
      <c r="M88" s="2">
        <v>21.75</v>
      </c>
      <c r="N88" s="30">
        <v>10</v>
      </c>
      <c r="O88" s="30">
        <f>IF(ISNUMBER(SEARCH("IMS",PMS_Catalog[[#This Row],[WU Id]])),"IMS",PMS_Catalog[[#This Row],[UNIQUE PRICE per hour]]*PMS_Catalog[[#This Row],[PMS Effort (Hours)]])</f>
        <v>217.5</v>
      </c>
      <c r="P88" s="30">
        <v>10</v>
      </c>
      <c r="Q88" s="53" t="s">
        <v>88</v>
      </c>
      <c r="R88" s="1" t="s">
        <v>89</v>
      </c>
      <c r="S88" s="1"/>
      <c r="T88" s="31">
        <v>44768</v>
      </c>
      <c r="U88" s="1" t="s">
        <v>90</v>
      </c>
      <c r="V88" s="31">
        <v>44652</v>
      </c>
      <c r="W88" s="1">
        <f t="shared" ca="1" si="2"/>
        <v>4</v>
      </c>
      <c r="X88" s="1" cm="1">
        <f t="array" aca="1" ref="X88" ca="1">_xlfn.IFS(W87=1,8%,W87=2,10%,W87&gt;2,10%,W87&lt;1,0)</f>
        <v>0.1</v>
      </c>
      <c r="Y88" s="35">
        <f t="shared" ca="1" si="3"/>
        <v>195.75</v>
      </c>
      <c r="Z88" s="40"/>
      <c r="AA88" s="1" t="str">
        <f>LEFT(PMS_Catalog[[#This Row],[WU Id]],3)</f>
        <v>PMS</v>
      </c>
    </row>
    <row r="89" spans="1:27" ht="39" customHeight="1">
      <c r="A89" s="1" t="s">
        <v>481</v>
      </c>
      <c r="B89" s="1" t="s">
        <v>78</v>
      </c>
      <c r="C89" s="1" t="s">
        <v>131</v>
      </c>
      <c r="D89" s="1" t="s">
        <v>242</v>
      </c>
      <c r="E89" s="1" t="s">
        <v>243</v>
      </c>
      <c r="F89" s="11" t="s">
        <v>192</v>
      </c>
      <c r="G89" s="21" t="s">
        <v>474</v>
      </c>
      <c r="H89" s="21" t="s">
        <v>482</v>
      </c>
      <c r="I89" s="1" t="s">
        <v>89</v>
      </c>
      <c r="J89" s="1" t="s">
        <v>89</v>
      </c>
      <c r="K89" s="1" t="s">
        <v>239</v>
      </c>
      <c r="L89" s="1" t="s">
        <v>240</v>
      </c>
      <c r="M89" s="2">
        <v>21.75</v>
      </c>
      <c r="N89" s="30">
        <v>5.0999999999999996</v>
      </c>
      <c r="O89" s="30">
        <f>IF(ISNUMBER(SEARCH("IMS",PMS_Catalog[[#This Row],[WU Id]])),"IMS",PMS_Catalog[[#This Row],[UNIQUE PRICE per hour]]*PMS_Catalog[[#This Row],[PMS Effort (Hours)]])</f>
        <v>110.925</v>
      </c>
      <c r="P89" s="30">
        <v>7</v>
      </c>
      <c r="Q89" s="53" t="s">
        <v>88</v>
      </c>
      <c r="R89" s="1" t="s">
        <v>89</v>
      </c>
      <c r="S89" s="1"/>
      <c r="T89" s="31">
        <v>44768</v>
      </c>
      <c r="U89" s="1" t="s">
        <v>90</v>
      </c>
      <c r="V89" s="31">
        <v>44652</v>
      </c>
      <c r="W89" s="1">
        <f t="shared" ca="1" si="2"/>
        <v>4</v>
      </c>
      <c r="X89" s="1" cm="1">
        <f t="array" aca="1" ref="X89" ca="1">_xlfn.IFS(W88=1,8%,W88=2,10%,W88&gt;2,10%,W88&lt;1,0)</f>
        <v>0.1</v>
      </c>
      <c r="Y89" s="35">
        <f t="shared" ca="1" si="3"/>
        <v>99.832499999999996</v>
      </c>
      <c r="Z89" s="40"/>
      <c r="AA89" s="1" t="str">
        <f>LEFT(PMS_Catalog[[#This Row],[WU Id]],3)</f>
        <v>PMS</v>
      </c>
    </row>
    <row r="90" spans="1:27" ht="39" customHeight="1">
      <c r="A90" s="1" t="s">
        <v>483</v>
      </c>
      <c r="B90" s="1" t="s">
        <v>78</v>
      </c>
      <c r="C90" s="1" t="s">
        <v>131</v>
      </c>
      <c r="D90" s="1" t="s">
        <v>242</v>
      </c>
      <c r="E90" s="1" t="s">
        <v>243</v>
      </c>
      <c r="F90" s="11" t="s">
        <v>192</v>
      </c>
      <c r="G90" s="21" t="s">
        <v>477</v>
      </c>
      <c r="H90" s="21" t="s">
        <v>484</v>
      </c>
      <c r="I90" s="1" t="s">
        <v>89</v>
      </c>
      <c r="J90" s="1" t="s">
        <v>89</v>
      </c>
      <c r="K90" s="1" t="s">
        <v>234</v>
      </c>
      <c r="L90" s="1" t="s">
        <v>479</v>
      </c>
      <c r="M90" s="2">
        <v>21.75</v>
      </c>
      <c r="N90" s="30">
        <v>10.199999999999999</v>
      </c>
      <c r="O90" s="30">
        <f>IF(ISNUMBER(SEARCH("IMS",PMS_Catalog[[#This Row],[WU Id]])),"IMS",PMS_Catalog[[#This Row],[UNIQUE PRICE per hour]]*PMS_Catalog[[#This Row],[PMS Effort (Hours)]])</f>
        <v>221.85</v>
      </c>
      <c r="P90" s="30">
        <v>7</v>
      </c>
      <c r="Q90" s="53" t="s">
        <v>88</v>
      </c>
      <c r="R90" s="1" t="s">
        <v>89</v>
      </c>
      <c r="S90" s="1"/>
      <c r="T90" s="31">
        <v>44768</v>
      </c>
      <c r="U90" s="1" t="s">
        <v>90</v>
      </c>
      <c r="V90" s="31">
        <v>44652</v>
      </c>
      <c r="W90" s="1">
        <f t="shared" ca="1" si="2"/>
        <v>4</v>
      </c>
      <c r="X90" s="1" cm="1">
        <f t="array" aca="1" ref="X90" ca="1">_xlfn.IFS(W89=1,8%,W89=2,10%,W89&gt;2,10%,W89&lt;1,0)</f>
        <v>0.1</v>
      </c>
      <c r="Y90" s="35">
        <f t="shared" ca="1" si="3"/>
        <v>199.66499999999999</v>
      </c>
      <c r="Z90" s="40"/>
      <c r="AA90" s="1" t="str">
        <f>LEFT(PMS_Catalog[[#This Row],[WU Id]],3)</f>
        <v>PMS</v>
      </c>
    </row>
    <row r="91" spans="1:27" ht="39" customHeight="1">
      <c r="A91" s="1" t="s">
        <v>485</v>
      </c>
      <c r="B91" s="1" t="s">
        <v>78</v>
      </c>
      <c r="C91" s="1" t="s">
        <v>131</v>
      </c>
      <c r="D91" s="1" t="s">
        <v>242</v>
      </c>
      <c r="E91" s="1" t="s">
        <v>243</v>
      </c>
      <c r="F91" s="11" t="s">
        <v>192</v>
      </c>
      <c r="G91" s="21" t="s">
        <v>301</v>
      </c>
      <c r="H91" s="21" t="s">
        <v>486</v>
      </c>
      <c r="I91" s="1" t="s">
        <v>89</v>
      </c>
      <c r="J91" s="1" t="s">
        <v>89</v>
      </c>
      <c r="K91" s="1" t="s">
        <v>89</v>
      </c>
      <c r="L91" s="1" t="s">
        <v>246</v>
      </c>
      <c r="M91" s="2">
        <v>21.75</v>
      </c>
      <c r="N91" s="30">
        <v>10.199999999999999</v>
      </c>
      <c r="O91" s="30">
        <f>IF(ISNUMBER(SEARCH("IMS",PMS_Catalog[[#This Row],[WU Id]])),"IMS",PMS_Catalog[[#This Row],[UNIQUE PRICE per hour]]*PMS_Catalog[[#This Row],[PMS Effort (Hours)]])</f>
        <v>221.85</v>
      </c>
      <c r="P91" s="30">
        <v>10</v>
      </c>
      <c r="Q91" s="53" t="s">
        <v>88</v>
      </c>
      <c r="R91" s="1" t="s">
        <v>89</v>
      </c>
      <c r="S91" s="1"/>
      <c r="T91" s="31">
        <v>44768</v>
      </c>
      <c r="U91" s="1" t="s">
        <v>90</v>
      </c>
      <c r="V91" s="31">
        <v>44652</v>
      </c>
      <c r="W91" s="1">
        <f t="shared" ca="1" si="2"/>
        <v>4</v>
      </c>
      <c r="X91" s="1" cm="1">
        <f t="array" aca="1" ref="X91" ca="1">_xlfn.IFS(W90=1,8%,W90=2,10%,W90&gt;2,10%,W90&lt;1,0)</f>
        <v>0.1</v>
      </c>
      <c r="Y91" s="35">
        <f t="shared" ca="1" si="3"/>
        <v>199.66499999999999</v>
      </c>
      <c r="Z91" s="40"/>
      <c r="AA91" s="1" t="str">
        <f>LEFT(PMS_Catalog[[#This Row],[WU Id]],3)</f>
        <v>PMS</v>
      </c>
    </row>
    <row r="92" spans="1:27" ht="39" customHeight="1">
      <c r="A92" s="1" t="s">
        <v>487</v>
      </c>
      <c r="B92" s="1" t="s">
        <v>78</v>
      </c>
      <c r="C92" s="1" t="s">
        <v>131</v>
      </c>
      <c r="D92" s="1" t="s">
        <v>242</v>
      </c>
      <c r="E92" s="1" t="s">
        <v>243</v>
      </c>
      <c r="F92" s="11" t="s">
        <v>192</v>
      </c>
      <c r="G92" s="21" t="s">
        <v>244</v>
      </c>
      <c r="H92" s="21" t="s">
        <v>488</v>
      </c>
      <c r="I92" s="1" t="s">
        <v>89</v>
      </c>
      <c r="J92" s="1" t="s">
        <v>89</v>
      </c>
      <c r="K92" s="1" t="s">
        <v>89</v>
      </c>
      <c r="L92" s="1" t="s">
        <v>246</v>
      </c>
      <c r="M92" s="2">
        <v>21.75</v>
      </c>
      <c r="N92" s="30">
        <v>10.199999999999999</v>
      </c>
      <c r="O92" s="30">
        <f>IF(ISNUMBER(SEARCH("IMS",PMS_Catalog[[#This Row],[WU Id]])),"IMS",PMS_Catalog[[#This Row],[UNIQUE PRICE per hour]]*PMS_Catalog[[#This Row],[PMS Effort (Hours)]])</f>
        <v>221.85</v>
      </c>
      <c r="P92" s="30">
        <v>12</v>
      </c>
      <c r="Q92" s="53" t="s">
        <v>88</v>
      </c>
      <c r="R92" s="1" t="s">
        <v>89</v>
      </c>
      <c r="S92" s="1"/>
      <c r="T92" s="31">
        <v>44768</v>
      </c>
      <c r="U92" s="1" t="s">
        <v>90</v>
      </c>
      <c r="V92" s="31">
        <v>44652</v>
      </c>
      <c r="W92" s="1">
        <f t="shared" ca="1" si="2"/>
        <v>4</v>
      </c>
      <c r="X92" s="1" cm="1">
        <f t="array" aca="1" ref="X92" ca="1">_xlfn.IFS(W91=1,8%,W91=2,10%,W91&gt;2,10%,W91&lt;1,0)</f>
        <v>0.1</v>
      </c>
      <c r="Y92" s="35">
        <f t="shared" ca="1" si="3"/>
        <v>199.66499999999999</v>
      </c>
      <c r="Z92" s="40"/>
      <c r="AA92" s="1" t="str">
        <f>LEFT(PMS_Catalog[[#This Row],[WU Id]],3)</f>
        <v>PMS</v>
      </c>
    </row>
    <row r="93" spans="1:27" ht="39" customHeight="1">
      <c r="A93" s="1" t="s">
        <v>489</v>
      </c>
      <c r="B93" s="1" t="s">
        <v>78</v>
      </c>
      <c r="C93" s="1" t="s">
        <v>92</v>
      </c>
      <c r="D93" s="1" t="s">
        <v>490</v>
      </c>
      <c r="E93" s="1" t="s">
        <v>491</v>
      </c>
      <c r="F93" s="11" t="s">
        <v>192</v>
      </c>
      <c r="G93" s="21" t="s">
        <v>492</v>
      </c>
      <c r="H93" s="21" t="s">
        <v>493</v>
      </c>
      <c r="I93" s="1" t="s">
        <v>89</v>
      </c>
      <c r="J93" s="1" t="s">
        <v>89</v>
      </c>
      <c r="K93" s="1" t="s">
        <v>239</v>
      </c>
      <c r="L93" s="1" t="s">
        <v>240</v>
      </c>
      <c r="M93" s="2">
        <v>21.75</v>
      </c>
      <c r="N93" s="30">
        <v>5</v>
      </c>
      <c r="O93" s="30">
        <f>IF(ISNUMBER(SEARCH("IMS",PMS_Catalog[[#This Row],[WU Id]])),"IMS",PMS_Catalog[[#This Row],[UNIQUE PRICE per hour]]*PMS_Catalog[[#This Row],[PMS Effort (Hours)]])</f>
        <v>108.75</v>
      </c>
      <c r="P93" s="30">
        <v>7</v>
      </c>
      <c r="Q93" s="53" t="s">
        <v>88</v>
      </c>
      <c r="R93" s="1" t="s">
        <v>89</v>
      </c>
      <c r="S93" s="1"/>
      <c r="T93" s="31">
        <v>44768</v>
      </c>
      <c r="U93" s="1" t="s">
        <v>90</v>
      </c>
      <c r="V93" s="31">
        <v>44652</v>
      </c>
      <c r="W93" s="1">
        <f t="shared" ca="1" si="2"/>
        <v>4</v>
      </c>
      <c r="X93" s="1" cm="1">
        <f t="array" aca="1" ref="X93" ca="1">_xlfn.IFS(W92=1,8%,W92=2,10%,W92&gt;2,10%,W92&lt;1,0)</f>
        <v>0.1</v>
      </c>
      <c r="Y93" s="35">
        <f t="shared" ca="1" si="3"/>
        <v>97.875</v>
      </c>
      <c r="Z93" s="40"/>
      <c r="AA93" s="1" t="str">
        <f>LEFT(PMS_Catalog[[#This Row],[WU Id]],3)</f>
        <v>PMS</v>
      </c>
    </row>
    <row r="94" spans="1:27" ht="39" customHeight="1">
      <c r="A94" s="1" t="s">
        <v>494</v>
      </c>
      <c r="B94" s="1" t="s">
        <v>78</v>
      </c>
      <c r="C94" s="1" t="s">
        <v>92</v>
      </c>
      <c r="D94" s="1" t="s">
        <v>490</v>
      </c>
      <c r="E94" s="1" t="s">
        <v>491</v>
      </c>
      <c r="F94" s="11" t="s">
        <v>192</v>
      </c>
      <c r="G94" s="21" t="s">
        <v>495</v>
      </c>
      <c r="H94" s="21" t="s">
        <v>496</v>
      </c>
      <c r="I94" s="1" t="s">
        <v>89</v>
      </c>
      <c r="J94" s="1" t="s">
        <v>89</v>
      </c>
      <c r="K94" s="1" t="s">
        <v>234</v>
      </c>
      <c r="L94" s="1" t="s">
        <v>479</v>
      </c>
      <c r="M94" s="2">
        <v>21.75</v>
      </c>
      <c r="N94" s="30">
        <v>9</v>
      </c>
      <c r="O94" s="30">
        <f>IF(ISNUMBER(SEARCH("IMS",PMS_Catalog[[#This Row],[WU Id]])),"IMS",PMS_Catalog[[#This Row],[UNIQUE PRICE per hour]]*PMS_Catalog[[#This Row],[PMS Effort (Hours)]])</f>
        <v>195.75</v>
      </c>
      <c r="P94" s="30">
        <v>7</v>
      </c>
      <c r="Q94" s="53" t="s">
        <v>88</v>
      </c>
      <c r="R94" s="1" t="s">
        <v>89</v>
      </c>
      <c r="S94" s="1"/>
      <c r="T94" s="31">
        <v>44768</v>
      </c>
      <c r="U94" s="1" t="s">
        <v>90</v>
      </c>
      <c r="V94" s="31">
        <v>44652</v>
      </c>
      <c r="W94" s="1">
        <f t="shared" ca="1" si="2"/>
        <v>4</v>
      </c>
      <c r="X94" s="1" cm="1">
        <f t="array" aca="1" ref="X94" ca="1">_xlfn.IFS(W93=1,8%,W93=2,10%,W93&gt;2,10%,W93&lt;1,0)</f>
        <v>0.1</v>
      </c>
      <c r="Y94" s="35">
        <f t="shared" ca="1" si="3"/>
        <v>176.17500000000001</v>
      </c>
      <c r="Z94" s="40"/>
      <c r="AA94" s="1" t="str">
        <f>LEFT(PMS_Catalog[[#This Row],[WU Id]],3)</f>
        <v>PMS</v>
      </c>
    </row>
    <row r="95" spans="1:27" ht="39" customHeight="1">
      <c r="A95" s="1" t="s">
        <v>497</v>
      </c>
      <c r="B95" s="1" t="s">
        <v>78</v>
      </c>
      <c r="C95" s="1" t="s">
        <v>92</v>
      </c>
      <c r="D95" s="1" t="s">
        <v>490</v>
      </c>
      <c r="E95" s="1" t="s">
        <v>491</v>
      </c>
      <c r="F95" s="11" t="s">
        <v>192</v>
      </c>
      <c r="G95" s="21" t="s">
        <v>301</v>
      </c>
      <c r="H95" s="21" t="s">
        <v>302</v>
      </c>
      <c r="I95" s="1" t="s">
        <v>89</v>
      </c>
      <c r="J95" s="1" t="s">
        <v>89</v>
      </c>
      <c r="K95" s="1" t="s">
        <v>89</v>
      </c>
      <c r="L95" s="1" t="s">
        <v>246</v>
      </c>
      <c r="M95" s="2">
        <v>21.75</v>
      </c>
      <c r="N95" s="30">
        <v>10</v>
      </c>
      <c r="O95" s="30">
        <f>IF(ISNUMBER(SEARCH("IMS",PMS_Catalog[[#This Row],[WU Id]])),"IMS",PMS_Catalog[[#This Row],[UNIQUE PRICE per hour]]*PMS_Catalog[[#This Row],[PMS Effort (Hours)]])</f>
        <v>217.5</v>
      </c>
      <c r="P95" s="30">
        <v>10</v>
      </c>
      <c r="Q95" s="53" t="s">
        <v>88</v>
      </c>
      <c r="R95" s="1" t="s">
        <v>89</v>
      </c>
      <c r="S95" s="1"/>
      <c r="T95" s="31">
        <v>44768</v>
      </c>
      <c r="U95" s="1" t="s">
        <v>90</v>
      </c>
      <c r="V95" s="31">
        <v>44652</v>
      </c>
      <c r="W95" s="1">
        <f t="shared" ca="1" si="2"/>
        <v>4</v>
      </c>
      <c r="X95" s="1" cm="1">
        <f t="array" aca="1" ref="X95" ca="1">_xlfn.IFS(W94=1,8%,W94=2,10%,W94&gt;2,10%,W94&lt;1,0)</f>
        <v>0.1</v>
      </c>
      <c r="Y95" s="35">
        <f t="shared" ca="1" si="3"/>
        <v>195.75</v>
      </c>
      <c r="Z95" s="40"/>
      <c r="AA95" s="1" t="str">
        <f>LEFT(PMS_Catalog[[#This Row],[WU Id]],3)</f>
        <v>PMS</v>
      </c>
    </row>
    <row r="96" spans="1:27" ht="39" customHeight="1">
      <c r="A96" s="1" t="s">
        <v>498</v>
      </c>
      <c r="B96" s="1" t="s">
        <v>78</v>
      </c>
      <c r="C96" s="1" t="s">
        <v>92</v>
      </c>
      <c r="D96" s="1" t="s">
        <v>490</v>
      </c>
      <c r="E96" s="1" t="s">
        <v>491</v>
      </c>
      <c r="F96" s="11" t="s">
        <v>192</v>
      </c>
      <c r="G96" s="21" t="s">
        <v>244</v>
      </c>
      <c r="H96" s="21" t="s">
        <v>499</v>
      </c>
      <c r="I96" s="1" t="s">
        <v>89</v>
      </c>
      <c r="J96" s="1" t="s">
        <v>89</v>
      </c>
      <c r="K96" s="1" t="s">
        <v>89</v>
      </c>
      <c r="L96" s="1" t="s">
        <v>246</v>
      </c>
      <c r="M96" s="2">
        <v>21.75</v>
      </c>
      <c r="N96" s="30">
        <v>13</v>
      </c>
      <c r="O96" s="30">
        <f>IF(ISNUMBER(SEARCH("IMS",PMS_Catalog[[#This Row],[WU Id]])),"IMS",PMS_Catalog[[#This Row],[UNIQUE PRICE per hour]]*PMS_Catalog[[#This Row],[PMS Effort (Hours)]])</f>
        <v>282.75</v>
      </c>
      <c r="P96" s="30">
        <v>12</v>
      </c>
      <c r="Q96" s="53" t="s">
        <v>88</v>
      </c>
      <c r="R96" s="1" t="s">
        <v>89</v>
      </c>
      <c r="S96" s="1"/>
      <c r="T96" s="31">
        <v>44768</v>
      </c>
      <c r="U96" s="1" t="s">
        <v>90</v>
      </c>
      <c r="V96" s="31">
        <v>44652</v>
      </c>
      <c r="W96" s="1">
        <f t="shared" ca="1" si="2"/>
        <v>4</v>
      </c>
      <c r="X96" s="1" cm="1">
        <f t="array" aca="1" ref="X96" ca="1">_xlfn.IFS(W95=1,8%,W95=2,10%,W95&gt;2,10%,W95&lt;1,0)</f>
        <v>0.1</v>
      </c>
      <c r="Y96" s="35">
        <f t="shared" ca="1" si="3"/>
        <v>254.47499999999999</v>
      </c>
      <c r="Z96" s="40"/>
      <c r="AA96" s="1" t="str">
        <f>LEFT(PMS_Catalog[[#This Row],[WU Id]],3)</f>
        <v>PMS</v>
      </c>
    </row>
    <row r="97" spans="1:27" ht="39" customHeight="1">
      <c r="A97" s="1" t="s">
        <v>500</v>
      </c>
      <c r="B97" s="1" t="s">
        <v>78</v>
      </c>
      <c r="C97" s="1" t="s">
        <v>92</v>
      </c>
      <c r="D97" s="1" t="s">
        <v>501</v>
      </c>
      <c r="E97" s="1" t="s">
        <v>502</v>
      </c>
      <c r="F97" s="11" t="s">
        <v>192</v>
      </c>
      <c r="G97" s="21" t="s">
        <v>301</v>
      </c>
      <c r="H97" s="21" t="s">
        <v>503</v>
      </c>
      <c r="I97" s="1" t="s">
        <v>89</v>
      </c>
      <c r="J97" s="1" t="s">
        <v>89</v>
      </c>
      <c r="K97" s="1" t="s">
        <v>89</v>
      </c>
      <c r="L97" s="1" t="s">
        <v>246</v>
      </c>
      <c r="M97" s="2">
        <v>21.75</v>
      </c>
      <c r="N97" s="30">
        <v>10</v>
      </c>
      <c r="O97" s="30">
        <f>IF(ISNUMBER(SEARCH("IMS",PMS_Catalog[[#This Row],[WU Id]])),"IMS",PMS_Catalog[[#This Row],[UNIQUE PRICE per hour]]*PMS_Catalog[[#This Row],[PMS Effort (Hours)]])</f>
        <v>217.5</v>
      </c>
      <c r="P97" s="30">
        <v>10</v>
      </c>
      <c r="Q97" s="53" t="s">
        <v>88</v>
      </c>
      <c r="R97" s="1" t="s">
        <v>89</v>
      </c>
      <c r="S97" s="1"/>
      <c r="T97" s="31">
        <v>44768</v>
      </c>
      <c r="U97" s="1" t="s">
        <v>90</v>
      </c>
      <c r="V97" s="31">
        <v>44652</v>
      </c>
      <c r="W97" s="1">
        <f t="shared" ca="1" si="2"/>
        <v>4</v>
      </c>
      <c r="X97" s="1" cm="1">
        <f t="array" aca="1" ref="X97" ca="1">_xlfn.IFS(W96=1,8%,W96=2,10%,W96&gt;2,10%,W96&lt;1,0)</f>
        <v>0.1</v>
      </c>
      <c r="Y97" s="35">
        <f t="shared" ca="1" si="3"/>
        <v>195.75</v>
      </c>
      <c r="Z97" s="40"/>
      <c r="AA97" s="1" t="str">
        <f>LEFT(PMS_Catalog[[#This Row],[WU Id]],3)</f>
        <v>PMS</v>
      </c>
    </row>
    <row r="98" spans="1:27" ht="39" customHeight="1">
      <c r="A98" s="1" t="s">
        <v>504</v>
      </c>
      <c r="B98" s="1" t="s">
        <v>78</v>
      </c>
      <c r="C98" s="1" t="s">
        <v>92</v>
      </c>
      <c r="D98" s="1" t="s">
        <v>501</v>
      </c>
      <c r="E98" s="1" t="s">
        <v>502</v>
      </c>
      <c r="F98" s="11" t="s">
        <v>192</v>
      </c>
      <c r="G98" s="21" t="s">
        <v>244</v>
      </c>
      <c r="H98" s="21" t="s">
        <v>505</v>
      </c>
      <c r="I98" s="1" t="s">
        <v>89</v>
      </c>
      <c r="J98" s="1" t="s">
        <v>89</v>
      </c>
      <c r="K98" s="1" t="s">
        <v>89</v>
      </c>
      <c r="L98" s="1" t="s">
        <v>246</v>
      </c>
      <c r="M98" s="2">
        <v>21.75</v>
      </c>
      <c r="N98" s="30">
        <v>13</v>
      </c>
      <c r="O98" s="30">
        <f>IF(ISNUMBER(SEARCH("IMS",PMS_Catalog[[#This Row],[WU Id]])),"IMS",PMS_Catalog[[#This Row],[UNIQUE PRICE per hour]]*PMS_Catalog[[#This Row],[PMS Effort (Hours)]])</f>
        <v>282.75</v>
      </c>
      <c r="P98" s="30">
        <v>12</v>
      </c>
      <c r="Q98" s="53" t="s">
        <v>88</v>
      </c>
      <c r="R98" s="1" t="s">
        <v>89</v>
      </c>
      <c r="S98" s="1"/>
      <c r="T98" s="31">
        <v>44768</v>
      </c>
      <c r="U98" s="1" t="s">
        <v>90</v>
      </c>
      <c r="V98" s="31">
        <v>44652</v>
      </c>
      <c r="W98" s="1">
        <f t="shared" ca="1" si="2"/>
        <v>4</v>
      </c>
      <c r="X98" s="1" cm="1">
        <f t="array" aca="1" ref="X98" ca="1">_xlfn.IFS(W97=1,8%,W97=2,10%,W97&gt;2,10%,W97&lt;1,0)</f>
        <v>0.1</v>
      </c>
      <c r="Y98" s="35">
        <f t="shared" ca="1" si="3"/>
        <v>254.47499999999999</v>
      </c>
      <c r="Z98" s="40"/>
      <c r="AA98" s="1" t="str">
        <f>LEFT(PMS_Catalog[[#This Row],[WU Id]],3)</f>
        <v>PMS</v>
      </c>
    </row>
    <row r="99" spans="1:27" ht="39" customHeight="1">
      <c r="A99" s="1" t="s">
        <v>506</v>
      </c>
      <c r="B99" s="1" t="s">
        <v>78</v>
      </c>
      <c r="C99" s="1" t="s">
        <v>92</v>
      </c>
      <c r="D99" s="1" t="s">
        <v>507</v>
      </c>
      <c r="E99" s="1" t="s">
        <v>508</v>
      </c>
      <c r="F99" s="11" t="s">
        <v>192</v>
      </c>
      <c r="G99" s="21" t="s">
        <v>509</v>
      </c>
      <c r="H99" s="21" t="s">
        <v>510</v>
      </c>
      <c r="I99" s="1" t="s">
        <v>89</v>
      </c>
      <c r="J99" s="1" t="s">
        <v>89</v>
      </c>
      <c r="K99" s="1" t="s">
        <v>89</v>
      </c>
      <c r="L99" s="1" t="s">
        <v>511</v>
      </c>
      <c r="M99" s="2">
        <v>21.75</v>
      </c>
      <c r="N99" s="30">
        <v>5.0999999999999996</v>
      </c>
      <c r="O99" s="30">
        <f>IF(ISNUMBER(SEARCH("IMS",PMS_Catalog[[#This Row],[WU Id]])),"IMS",PMS_Catalog[[#This Row],[UNIQUE PRICE per hour]]*PMS_Catalog[[#This Row],[PMS Effort (Hours)]])</f>
        <v>110.925</v>
      </c>
      <c r="P99" s="30">
        <v>7</v>
      </c>
      <c r="Q99" s="53" t="s">
        <v>88</v>
      </c>
      <c r="R99" s="1" t="s">
        <v>89</v>
      </c>
      <c r="S99" s="1"/>
      <c r="T99" s="31">
        <v>44768</v>
      </c>
      <c r="U99" s="1" t="s">
        <v>90</v>
      </c>
      <c r="V99" s="31">
        <v>44652</v>
      </c>
      <c r="W99" s="1">
        <f t="shared" ca="1" si="2"/>
        <v>4</v>
      </c>
      <c r="X99" s="1" cm="1">
        <f t="array" aca="1" ref="X99" ca="1">_xlfn.IFS(W98=1,8%,W98=2,10%,W98&gt;2,10%,W98&lt;1,0)</f>
        <v>0.1</v>
      </c>
      <c r="Y99" s="35">
        <f t="shared" ca="1" si="3"/>
        <v>99.832499999999996</v>
      </c>
      <c r="Z99" s="40"/>
      <c r="AA99" s="1" t="str">
        <f>LEFT(PMS_Catalog[[#This Row],[WU Id]],3)</f>
        <v>PMS</v>
      </c>
    </row>
    <row r="100" spans="1:27" ht="39" customHeight="1">
      <c r="A100" s="1" t="s">
        <v>512</v>
      </c>
      <c r="B100" s="1" t="s">
        <v>78</v>
      </c>
      <c r="C100" s="1" t="s">
        <v>92</v>
      </c>
      <c r="D100" s="1" t="s">
        <v>507</v>
      </c>
      <c r="E100" s="1" t="s">
        <v>508</v>
      </c>
      <c r="F100" s="11" t="s">
        <v>192</v>
      </c>
      <c r="G100" s="21" t="s">
        <v>513</v>
      </c>
      <c r="H100" s="21" t="s">
        <v>514</v>
      </c>
      <c r="I100" s="1" t="s">
        <v>89</v>
      </c>
      <c r="J100" s="1" t="s">
        <v>89</v>
      </c>
      <c r="K100" s="1" t="s">
        <v>89</v>
      </c>
      <c r="L100" s="1" t="s">
        <v>511</v>
      </c>
      <c r="M100" s="2">
        <v>21.75</v>
      </c>
      <c r="N100" s="30">
        <v>4.25</v>
      </c>
      <c r="O100" s="30">
        <f>IF(ISNUMBER(SEARCH("IMS",PMS_Catalog[[#This Row],[WU Id]])),"IMS",PMS_Catalog[[#This Row],[UNIQUE PRICE per hour]]*PMS_Catalog[[#This Row],[PMS Effort (Hours)]])</f>
        <v>92.4375</v>
      </c>
      <c r="P100" s="30">
        <v>7</v>
      </c>
      <c r="Q100" s="53" t="s">
        <v>88</v>
      </c>
      <c r="R100" s="1" t="s">
        <v>89</v>
      </c>
      <c r="S100" s="1"/>
      <c r="T100" s="31">
        <v>44768</v>
      </c>
      <c r="U100" s="1" t="s">
        <v>90</v>
      </c>
      <c r="V100" s="31">
        <v>44652</v>
      </c>
      <c r="W100" s="1">
        <f t="shared" ca="1" si="2"/>
        <v>4</v>
      </c>
      <c r="X100" s="1" cm="1">
        <f t="array" aca="1" ref="X100" ca="1">_xlfn.IFS(W99=1,8%,W99=2,10%,W99&gt;2,10%,W99&lt;1,0)</f>
        <v>0.1</v>
      </c>
      <c r="Y100" s="35">
        <f t="shared" ca="1" si="3"/>
        <v>83.193749999999994</v>
      </c>
      <c r="Z100" s="40"/>
      <c r="AA100" s="1" t="str">
        <f>LEFT(PMS_Catalog[[#This Row],[WU Id]],3)</f>
        <v>PMS</v>
      </c>
    </row>
    <row r="101" spans="1:27" ht="39" customHeight="1">
      <c r="A101" s="1" t="s">
        <v>515</v>
      </c>
      <c r="B101" s="1" t="s">
        <v>78</v>
      </c>
      <c r="C101" s="1" t="s">
        <v>92</v>
      </c>
      <c r="D101" s="1" t="s">
        <v>507</v>
      </c>
      <c r="E101" s="1" t="s">
        <v>508</v>
      </c>
      <c r="F101" s="11" t="s">
        <v>192</v>
      </c>
      <c r="G101" s="21" t="s">
        <v>516</v>
      </c>
      <c r="H101" s="21" t="s">
        <v>517</v>
      </c>
      <c r="I101" s="1" t="s">
        <v>89</v>
      </c>
      <c r="J101" s="1" t="s">
        <v>89</v>
      </c>
      <c r="K101" s="1" t="s">
        <v>89</v>
      </c>
      <c r="L101" s="1" t="s">
        <v>518</v>
      </c>
      <c r="M101" s="2">
        <v>21.75</v>
      </c>
      <c r="N101" s="30">
        <v>5.0999999999999996</v>
      </c>
      <c r="O101" s="30">
        <f>IF(ISNUMBER(SEARCH("IMS",PMS_Catalog[[#This Row],[WU Id]])),"IMS",PMS_Catalog[[#This Row],[UNIQUE PRICE per hour]]*PMS_Catalog[[#This Row],[PMS Effort (Hours)]])</f>
        <v>110.925</v>
      </c>
      <c r="P101" s="30">
        <v>7</v>
      </c>
      <c r="Q101" s="53" t="s">
        <v>88</v>
      </c>
      <c r="R101" s="1" t="s">
        <v>89</v>
      </c>
      <c r="S101" s="1"/>
      <c r="T101" s="31">
        <v>44768</v>
      </c>
      <c r="U101" s="1" t="s">
        <v>90</v>
      </c>
      <c r="V101" s="31">
        <v>44652</v>
      </c>
      <c r="W101" s="1">
        <f t="shared" ca="1" si="2"/>
        <v>4</v>
      </c>
      <c r="X101" s="1" cm="1">
        <f t="array" aca="1" ref="X101" ca="1">_xlfn.IFS(W100=1,8%,W100=2,10%,W100&gt;2,10%,W100&lt;1,0)</f>
        <v>0.1</v>
      </c>
      <c r="Y101" s="35">
        <f t="shared" ca="1" si="3"/>
        <v>99.832499999999996</v>
      </c>
      <c r="Z101" s="40"/>
      <c r="AA101" s="1" t="str">
        <f>LEFT(PMS_Catalog[[#This Row],[WU Id]],3)</f>
        <v>PMS</v>
      </c>
    </row>
    <row r="102" spans="1:27" ht="39" customHeight="1">
      <c r="A102" s="1" t="s">
        <v>519</v>
      </c>
      <c r="B102" s="1" t="s">
        <v>78</v>
      </c>
      <c r="C102" s="1" t="s">
        <v>92</v>
      </c>
      <c r="D102" s="1" t="s">
        <v>507</v>
      </c>
      <c r="E102" s="1" t="s">
        <v>508</v>
      </c>
      <c r="F102" s="11" t="s">
        <v>192</v>
      </c>
      <c r="G102" s="21" t="s">
        <v>520</v>
      </c>
      <c r="H102" s="21" t="s">
        <v>521</v>
      </c>
      <c r="I102" s="1" t="s">
        <v>89</v>
      </c>
      <c r="J102" s="1" t="s">
        <v>89</v>
      </c>
      <c r="K102" s="1" t="s">
        <v>89</v>
      </c>
      <c r="L102" s="1" t="s">
        <v>522</v>
      </c>
      <c r="M102" s="2">
        <v>21.75</v>
      </c>
      <c r="N102" s="30">
        <v>3.4</v>
      </c>
      <c r="O102" s="30">
        <f>IF(ISNUMBER(SEARCH("IMS",PMS_Catalog[[#This Row],[WU Id]])),"IMS",PMS_Catalog[[#This Row],[UNIQUE PRICE per hour]]*PMS_Catalog[[#This Row],[PMS Effort (Hours)]])</f>
        <v>73.95</v>
      </c>
      <c r="P102" s="30">
        <v>7</v>
      </c>
      <c r="Q102" s="53" t="s">
        <v>88</v>
      </c>
      <c r="R102" s="1" t="s">
        <v>89</v>
      </c>
      <c r="S102" s="1"/>
      <c r="T102" s="31">
        <v>44768</v>
      </c>
      <c r="U102" s="1" t="s">
        <v>90</v>
      </c>
      <c r="V102" s="31">
        <v>44652</v>
      </c>
      <c r="W102" s="1">
        <f t="shared" ca="1" si="2"/>
        <v>4</v>
      </c>
      <c r="X102" s="1" cm="1">
        <f t="array" aca="1" ref="X102" ca="1">_xlfn.IFS(W101=1,8%,W101=2,10%,W101&gt;2,10%,W101&lt;1,0)</f>
        <v>0.1</v>
      </c>
      <c r="Y102" s="35">
        <f t="shared" ca="1" si="3"/>
        <v>66.555000000000007</v>
      </c>
      <c r="Z102" s="40"/>
      <c r="AA102" s="1" t="str">
        <f>LEFT(PMS_Catalog[[#This Row],[WU Id]],3)</f>
        <v>PMS</v>
      </c>
    </row>
    <row r="103" spans="1:27" ht="39" customHeight="1">
      <c r="A103" s="1" t="s">
        <v>523</v>
      </c>
      <c r="B103" s="1" t="s">
        <v>78</v>
      </c>
      <c r="C103" s="1" t="s">
        <v>92</v>
      </c>
      <c r="D103" s="1" t="s">
        <v>524</v>
      </c>
      <c r="E103" s="1" t="s">
        <v>525</v>
      </c>
      <c r="F103" s="11" t="s">
        <v>192</v>
      </c>
      <c r="G103" s="21" t="s">
        <v>526</v>
      </c>
      <c r="H103" s="21" t="s">
        <v>527</v>
      </c>
      <c r="I103" s="1" t="s">
        <v>89</v>
      </c>
      <c r="J103" s="1" t="s">
        <v>89</v>
      </c>
      <c r="K103" s="1" t="s">
        <v>89</v>
      </c>
      <c r="L103" s="1" t="s">
        <v>511</v>
      </c>
      <c r="M103" s="2">
        <v>21.75</v>
      </c>
      <c r="N103" s="30">
        <v>16.149999999999999</v>
      </c>
      <c r="O103" s="30">
        <f>IF(ISNUMBER(SEARCH("IMS",PMS_Catalog[[#This Row],[WU Id]])),"IMS",PMS_Catalog[[#This Row],[UNIQUE PRICE per hour]]*PMS_Catalog[[#This Row],[PMS Effort (Hours)]])</f>
        <v>351.26249999999999</v>
      </c>
      <c r="P103" s="30">
        <v>5</v>
      </c>
      <c r="Q103" s="53" t="s">
        <v>88</v>
      </c>
      <c r="R103" s="1" t="s">
        <v>89</v>
      </c>
      <c r="S103" s="1"/>
      <c r="T103" s="31">
        <v>44768</v>
      </c>
      <c r="U103" s="1" t="s">
        <v>90</v>
      </c>
      <c r="V103" s="31">
        <v>44652</v>
      </c>
      <c r="W103" s="1">
        <f t="shared" ca="1" si="2"/>
        <v>4</v>
      </c>
      <c r="X103" s="1" cm="1">
        <f t="array" aca="1" ref="X103" ca="1">_xlfn.IFS(W102=1,8%,W102=2,10%,W102&gt;2,10%,W102&lt;1,0)</f>
        <v>0.1</v>
      </c>
      <c r="Y103" s="35">
        <f t="shared" ca="1" si="3"/>
        <v>316.13625000000002</v>
      </c>
      <c r="Z103" s="40"/>
      <c r="AA103" s="1" t="str">
        <f>LEFT(PMS_Catalog[[#This Row],[WU Id]],3)</f>
        <v>PMS</v>
      </c>
    </row>
    <row r="104" spans="1:27" ht="39" customHeight="1">
      <c r="A104" s="1" t="s">
        <v>528</v>
      </c>
      <c r="B104" s="1" t="s">
        <v>78</v>
      </c>
      <c r="C104" s="1" t="s">
        <v>92</v>
      </c>
      <c r="D104" s="1" t="s">
        <v>529</v>
      </c>
      <c r="E104" s="1" t="s">
        <v>530</v>
      </c>
      <c r="F104" s="11" t="s">
        <v>192</v>
      </c>
      <c r="G104" s="21" t="s">
        <v>531</v>
      </c>
      <c r="H104" s="21" t="s">
        <v>532</v>
      </c>
      <c r="I104" s="1" t="s">
        <v>89</v>
      </c>
      <c r="J104" s="1" t="s">
        <v>89</v>
      </c>
      <c r="K104" s="1" t="s">
        <v>89</v>
      </c>
      <c r="L104" s="1" t="s">
        <v>533</v>
      </c>
      <c r="M104" s="2">
        <v>21.75</v>
      </c>
      <c r="N104" s="30">
        <v>7.2249999999999996</v>
      </c>
      <c r="O104" s="30">
        <f>IF(ISNUMBER(SEARCH("IMS",PMS_Catalog[[#This Row],[WU Id]])),"IMS",PMS_Catalog[[#This Row],[UNIQUE PRICE per hour]]*PMS_Catalog[[#This Row],[PMS Effort (Hours)]])</f>
        <v>157.14374999999998</v>
      </c>
      <c r="P104" s="30">
        <v>8</v>
      </c>
      <c r="Q104" s="53" t="s">
        <v>88</v>
      </c>
      <c r="R104" s="1" t="s">
        <v>89</v>
      </c>
      <c r="S104" s="1"/>
      <c r="T104" s="31">
        <v>44768</v>
      </c>
      <c r="U104" s="1" t="s">
        <v>90</v>
      </c>
      <c r="V104" s="31">
        <v>44652</v>
      </c>
      <c r="W104" s="1">
        <f t="shared" ca="1" si="2"/>
        <v>4</v>
      </c>
      <c r="X104" s="1" cm="1">
        <f t="array" aca="1" ref="X104" ca="1">_xlfn.IFS(W103=1,8%,W103=2,10%,W103&gt;2,10%,W103&lt;1,0)</f>
        <v>0.1</v>
      </c>
      <c r="Y104" s="35">
        <f t="shared" ca="1" si="3"/>
        <v>141.42937499999999</v>
      </c>
      <c r="Z104" s="40"/>
      <c r="AA104" s="1" t="str">
        <f>LEFT(PMS_Catalog[[#This Row],[WU Id]],3)</f>
        <v>PMS</v>
      </c>
    </row>
    <row r="105" spans="1:27" ht="39" customHeight="1">
      <c r="A105" s="1" t="s">
        <v>534</v>
      </c>
      <c r="B105" s="1" t="s">
        <v>78</v>
      </c>
      <c r="C105" s="1" t="s">
        <v>92</v>
      </c>
      <c r="D105" s="1" t="s">
        <v>529</v>
      </c>
      <c r="E105" s="1" t="s">
        <v>530</v>
      </c>
      <c r="F105" s="11" t="s">
        <v>192</v>
      </c>
      <c r="G105" s="21" t="s">
        <v>535</v>
      </c>
      <c r="H105" s="21" t="s">
        <v>536</v>
      </c>
      <c r="I105" s="1" t="s">
        <v>89</v>
      </c>
      <c r="J105" s="1" t="s">
        <v>89</v>
      </c>
      <c r="K105" s="1" t="s">
        <v>89</v>
      </c>
      <c r="L105" s="1" t="s">
        <v>533</v>
      </c>
      <c r="M105" s="2">
        <v>21.75</v>
      </c>
      <c r="N105" s="30">
        <v>7.2249999999999996</v>
      </c>
      <c r="O105" s="30">
        <f>IF(ISNUMBER(SEARCH("IMS",PMS_Catalog[[#This Row],[WU Id]])),"IMS",PMS_Catalog[[#This Row],[UNIQUE PRICE per hour]]*PMS_Catalog[[#This Row],[PMS Effort (Hours)]])</f>
        <v>157.14374999999998</v>
      </c>
      <c r="P105" s="30">
        <v>8</v>
      </c>
      <c r="Q105" s="53" t="s">
        <v>88</v>
      </c>
      <c r="R105" s="1" t="s">
        <v>89</v>
      </c>
      <c r="S105" s="1"/>
      <c r="T105" s="31">
        <v>44768</v>
      </c>
      <c r="U105" s="1" t="s">
        <v>90</v>
      </c>
      <c r="V105" s="31">
        <v>44652</v>
      </c>
      <c r="W105" s="1">
        <f t="shared" ca="1" si="2"/>
        <v>4</v>
      </c>
      <c r="X105" s="1" cm="1">
        <f t="array" aca="1" ref="X105" ca="1">_xlfn.IFS(W104=1,8%,W104=2,10%,W104&gt;2,10%,W104&lt;1,0)</f>
        <v>0.1</v>
      </c>
      <c r="Y105" s="35">
        <f t="shared" ca="1" si="3"/>
        <v>141.42937499999999</v>
      </c>
      <c r="Z105" s="40"/>
      <c r="AA105" s="1" t="str">
        <f>LEFT(PMS_Catalog[[#This Row],[WU Id]],3)</f>
        <v>PMS</v>
      </c>
    </row>
    <row r="106" spans="1:27" ht="39" customHeight="1">
      <c r="A106" s="1" t="s">
        <v>537</v>
      </c>
      <c r="B106" s="1" t="s">
        <v>78</v>
      </c>
      <c r="C106" s="1" t="s">
        <v>92</v>
      </c>
      <c r="D106" s="1" t="s">
        <v>538</v>
      </c>
      <c r="E106" s="4" t="s">
        <v>539</v>
      </c>
      <c r="F106" s="11" t="s">
        <v>192</v>
      </c>
      <c r="G106" s="21" t="s">
        <v>540</v>
      </c>
      <c r="H106" s="21" t="s">
        <v>541</v>
      </c>
      <c r="I106" s="1" t="s">
        <v>128</v>
      </c>
      <c r="J106" s="1" t="s">
        <v>128</v>
      </c>
      <c r="K106" s="1" t="s">
        <v>542</v>
      </c>
      <c r="L106" s="1" t="s">
        <v>543</v>
      </c>
      <c r="M106" s="2">
        <v>21.75</v>
      </c>
      <c r="N106" s="30">
        <v>1.7</v>
      </c>
      <c r="O106" s="30">
        <f>IF(ISNUMBER(SEARCH("IMS",PMS_Catalog[[#This Row],[WU Id]])),"IMS",PMS_Catalog[[#This Row],[UNIQUE PRICE per hour]]*PMS_Catalog[[#This Row],[PMS Effort (Hours)]])</f>
        <v>36.975000000000001</v>
      </c>
      <c r="P106" s="30">
        <v>15</v>
      </c>
      <c r="Q106" s="53" t="s">
        <v>88</v>
      </c>
      <c r="R106" s="1" t="s">
        <v>89</v>
      </c>
      <c r="S106" s="1"/>
      <c r="T106" s="31">
        <v>44768</v>
      </c>
      <c r="U106" s="1" t="s">
        <v>90</v>
      </c>
      <c r="V106" s="31">
        <v>44652</v>
      </c>
      <c r="W106" s="1">
        <f t="shared" ca="1" si="2"/>
        <v>4</v>
      </c>
      <c r="X106" s="1" cm="1">
        <f t="array" aca="1" ref="X106" ca="1">_xlfn.IFS(W105=1,8%,W105=2,10%,W105&gt;2,10%,W105&lt;1,0)</f>
        <v>0.1</v>
      </c>
      <c r="Y106" s="35">
        <f t="shared" ca="1" si="3"/>
        <v>33.277500000000003</v>
      </c>
      <c r="Z106" s="40"/>
      <c r="AA106" s="1" t="str">
        <f>LEFT(PMS_Catalog[[#This Row],[WU Id]],3)</f>
        <v>PMS</v>
      </c>
    </row>
    <row r="107" spans="1:27" ht="39" customHeight="1">
      <c r="A107" s="1" t="s">
        <v>544</v>
      </c>
      <c r="B107" s="1" t="s">
        <v>78</v>
      </c>
      <c r="C107" s="1" t="s">
        <v>92</v>
      </c>
      <c r="D107" s="1" t="s">
        <v>538</v>
      </c>
      <c r="E107" s="4" t="s">
        <v>539</v>
      </c>
      <c r="F107" s="11" t="s">
        <v>192</v>
      </c>
      <c r="G107" s="21" t="s">
        <v>545</v>
      </c>
      <c r="H107" s="21" t="s">
        <v>546</v>
      </c>
      <c r="I107" s="1" t="s">
        <v>128</v>
      </c>
      <c r="J107" s="1" t="s">
        <v>128</v>
      </c>
      <c r="K107" s="1" t="s">
        <v>542</v>
      </c>
      <c r="L107" s="1" t="s">
        <v>543</v>
      </c>
      <c r="M107" s="2">
        <v>21.75</v>
      </c>
      <c r="N107" s="30">
        <v>2.2999999999999998</v>
      </c>
      <c r="O107" s="30">
        <f>IF(ISNUMBER(SEARCH("IMS",PMS_Catalog[[#This Row],[WU Id]])),"IMS",PMS_Catalog[[#This Row],[UNIQUE PRICE per hour]]*PMS_Catalog[[#This Row],[PMS Effort (Hours)]])</f>
        <v>50.024999999999999</v>
      </c>
      <c r="P107" s="30">
        <v>15</v>
      </c>
      <c r="Q107" s="53" t="s">
        <v>88</v>
      </c>
      <c r="R107" s="1" t="s">
        <v>89</v>
      </c>
      <c r="S107" s="1"/>
      <c r="T107" s="31">
        <v>44768</v>
      </c>
      <c r="U107" s="1" t="s">
        <v>90</v>
      </c>
      <c r="V107" s="31">
        <v>44652</v>
      </c>
      <c r="W107" s="1">
        <f t="shared" ca="1" si="2"/>
        <v>4</v>
      </c>
      <c r="X107" s="1" cm="1">
        <f t="array" aca="1" ref="X107" ca="1">_xlfn.IFS(W106=1,8%,W106=2,10%,W106&gt;2,10%,W106&lt;1,0)</f>
        <v>0.1</v>
      </c>
      <c r="Y107" s="35">
        <f t="shared" ca="1" si="3"/>
        <v>45.022500000000001</v>
      </c>
      <c r="Z107" s="40"/>
      <c r="AA107" s="1" t="str">
        <f>LEFT(PMS_Catalog[[#This Row],[WU Id]],3)</f>
        <v>PMS</v>
      </c>
    </row>
    <row r="108" spans="1:27" ht="39" customHeight="1">
      <c r="A108" s="1" t="s">
        <v>547</v>
      </c>
      <c r="B108" s="1" t="s">
        <v>78</v>
      </c>
      <c r="C108" s="1" t="s">
        <v>92</v>
      </c>
      <c r="D108" s="1" t="s">
        <v>538</v>
      </c>
      <c r="E108" s="4" t="s">
        <v>539</v>
      </c>
      <c r="F108" s="11" t="s">
        <v>280</v>
      </c>
      <c r="G108" s="21" t="s">
        <v>548</v>
      </c>
      <c r="H108" s="21" t="s">
        <v>546</v>
      </c>
      <c r="I108" s="1" t="s">
        <v>128</v>
      </c>
      <c r="J108" s="1" t="s">
        <v>128</v>
      </c>
      <c r="K108" s="1" t="s">
        <v>542</v>
      </c>
      <c r="L108" s="1" t="s">
        <v>543</v>
      </c>
      <c r="M108" s="2">
        <v>21.75</v>
      </c>
      <c r="N108" s="30">
        <v>2.2999999999999998</v>
      </c>
      <c r="O108" s="30">
        <f>IF(ISNUMBER(SEARCH("IMS",PMS_Catalog[[#This Row],[WU Id]])),"IMS",PMS_Catalog[[#This Row],[UNIQUE PRICE per hour]]*PMS_Catalog[[#This Row],[PMS Effort (Hours)]])</f>
        <v>50.024999999999999</v>
      </c>
      <c r="P108" s="30">
        <v>15</v>
      </c>
      <c r="Q108" s="53" t="s">
        <v>88</v>
      </c>
      <c r="R108" s="1" t="s">
        <v>89</v>
      </c>
      <c r="S108" s="1"/>
      <c r="T108" s="31">
        <v>44768</v>
      </c>
      <c r="U108" s="1" t="s">
        <v>90</v>
      </c>
      <c r="V108" s="31">
        <v>44652</v>
      </c>
      <c r="W108" s="1">
        <f t="shared" ca="1" si="2"/>
        <v>4</v>
      </c>
      <c r="X108" s="1" cm="1">
        <f t="array" aca="1" ref="X108" ca="1">_xlfn.IFS(W107=1,8%,W107=2,10%,W107&gt;2,10%,W107&lt;1,0)</f>
        <v>0.1</v>
      </c>
      <c r="Y108" s="35">
        <f t="shared" ca="1" si="3"/>
        <v>45.022500000000001</v>
      </c>
      <c r="Z108" s="40"/>
      <c r="AA108" s="1" t="str">
        <f>LEFT(PMS_Catalog[[#This Row],[WU Id]],3)</f>
        <v>PMS</v>
      </c>
    </row>
    <row r="109" spans="1:27" ht="39" customHeight="1">
      <c r="A109" s="1" t="s">
        <v>549</v>
      </c>
      <c r="B109" s="1" t="s">
        <v>78</v>
      </c>
      <c r="C109" s="1" t="s">
        <v>92</v>
      </c>
      <c r="D109" s="1" t="s">
        <v>538</v>
      </c>
      <c r="E109" s="4" t="s">
        <v>539</v>
      </c>
      <c r="F109" s="11" t="s">
        <v>192</v>
      </c>
      <c r="G109" s="21" t="s">
        <v>550</v>
      </c>
      <c r="H109" s="21" t="s">
        <v>546</v>
      </c>
      <c r="I109" s="1" t="s">
        <v>128</v>
      </c>
      <c r="J109" s="1" t="s">
        <v>128</v>
      </c>
      <c r="K109" s="1" t="s">
        <v>89</v>
      </c>
      <c r="L109" s="1" t="s">
        <v>543</v>
      </c>
      <c r="M109" s="2">
        <v>21.75</v>
      </c>
      <c r="N109" s="30">
        <v>6</v>
      </c>
      <c r="O109" s="30">
        <f>IF(ISNUMBER(SEARCH("IMS",PMS_Catalog[[#This Row],[WU Id]])),"IMS",PMS_Catalog[[#This Row],[UNIQUE PRICE per hour]]*PMS_Catalog[[#This Row],[PMS Effort (Hours)]])</f>
        <v>130.5</v>
      </c>
      <c r="P109" s="30">
        <v>10</v>
      </c>
      <c r="Q109" s="53" t="s">
        <v>88</v>
      </c>
      <c r="R109" s="1" t="s">
        <v>89</v>
      </c>
      <c r="S109" s="1"/>
      <c r="T109" s="31">
        <v>44768</v>
      </c>
      <c r="U109" s="1" t="s">
        <v>90</v>
      </c>
      <c r="V109" s="31">
        <v>44652</v>
      </c>
      <c r="W109" s="1">
        <f t="shared" ca="1" si="2"/>
        <v>4</v>
      </c>
      <c r="X109" s="1" cm="1">
        <f t="array" aca="1" ref="X109" ca="1">_xlfn.IFS(W108=1,8%,W108=2,10%,W108&gt;2,10%,W108&lt;1,0)</f>
        <v>0.1</v>
      </c>
      <c r="Y109" s="35">
        <f t="shared" ca="1" si="3"/>
        <v>117.45</v>
      </c>
      <c r="Z109" s="40"/>
      <c r="AA109" s="1" t="str">
        <f>LEFT(PMS_Catalog[[#This Row],[WU Id]],3)</f>
        <v>PMS</v>
      </c>
    </row>
    <row r="110" spans="1:27" ht="39" customHeight="1">
      <c r="A110" s="1" t="s">
        <v>551</v>
      </c>
      <c r="B110" s="1" t="s">
        <v>78</v>
      </c>
      <c r="C110" s="1" t="s">
        <v>92</v>
      </c>
      <c r="D110" s="1" t="s">
        <v>124</v>
      </c>
      <c r="E110" s="1" t="s">
        <v>124</v>
      </c>
      <c r="F110" s="11" t="s">
        <v>552</v>
      </c>
      <c r="G110" s="21" t="s">
        <v>553</v>
      </c>
      <c r="H110" s="21" t="s">
        <v>546</v>
      </c>
      <c r="I110" s="1" t="s">
        <v>128</v>
      </c>
      <c r="J110" s="1" t="s">
        <v>128</v>
      </c>
      <c r="K110" s="1" t="s">
        <v>554</v>
      </c>
      <c r="L110" s="1" t="s">
        <v>555</v>
      </c>
      <c r="M110" s="2">
        <v>21.75</v>
      </c>
      <c r="N110" s="30">
        <v>40</v>
      </c>
      <c r="O110" s="30">
        <f>IF(ISNUMBER(SEARCH("IMS",PMS_Catalog[[#This Row],[WU Id]])),"IMS",PMS_Catalog[[#This Row],[UNIQUE PRICE per hour]]*PMS_Catalog[[#This Row],[PMS Effort (Hours)]])</f>
        <v>870</v>
      </c>
      <c r="P110" s="30">
        <v>15</v>
      </c>
      <c r="Q110" s="53" t="s">
        <v>88</v>
      </c>
      <c r="R110" s="1" t="s">
        <v>89</v>
      </c>
      <c r="S110" s="1"/>
      <c r="T110" s="31">
        <v>44768</v>
      </c>
      <c r="U110" s="1" t="s">
        <v>90</v>
      </c>
      <c r="V110" s="31">
        <v>44652</v>
      </c>
      <c r="W110" s="1">
        <f t="shared" ca="1" si="2"/>
        <v>4</v>
      </c>
      <c r="X110" s="1" cm="1">
        <f t="array" aca="1" ref="X110" ca="1">_xlfn.IFS(W109=1,8%,W109=2,10%,W109&gt;2,10%,W109&lt;1,0)</f>
        <v>0.1</v>
      </c>
      <c r="Y110" s="35">
        <f t="shared" ca="1" si="3"/>
        <v>783</v>
      </c>
      <c r="Z110" s="40"/>
      <c r="AA110" s="1" t="str">
        <f>LEFT(PMS_Catalog[[#This Row],[WU Id]],3)</f>
        <v>PMS</v>
      </c>
    </row>
    <row r="111" spans="1:27" ht="39" customHeight="1">
      <c r="A111" s="1" t="s">
        <v>556</v>
      </c>
      <c r="B111" s="1" t="s">
        <v>78</v>
      </c>
      <c r="C111" s="1" t="s">
        <v>92</v>
      </c>
      <c r="D111" s="1" t="s">
        <v>124</v>
      </c>
      <c r="E111" s="1" t="s">
        <v>124</v>
      </c>
      <c r="F111" s="11" t="s">
        <v>552</v>
      </c>
      <c r="G111" s="21" t="s">
        <v>557</v>
      </c>
      <c r="H111" s="21" t="s">
        <v>558</v>
      </c>
      <c r="I111" s="1" t="s">
        <v>128</v>
      </c>
      <c r="J111" s="1" t="s">
        <v>128</v>
      </c>
      <c r="K111" s="1" t="s">
        <v>554</v>
      </c>
      <c r="L111" s="1" t="s">
        <v>543</v>
      </c>
      <c r="M111" s="2">
        <v>21.75</v>
      </c>
      <c r="N111" s="30">
        <v>6</v>
      </c>
      <c r="O111" s="30">
        <f>IF(ISNUMBER(SEARCH("IMS",PMS_Catalog[[#This Row],[WU Id]])),"IMS",PMS_Catalog[[#This Row],[UNIQUE PRICE per hour]]*PMS_Catalog[[#This Row],[PMS Effort (Hours)]])</f>
        <v>130.5</v>
      </c>
      <c r="P111" s="30">
        <v>30</v>
      </c>
      <c r="Q111" s="53" t="s">
        <v>88</v>
      </c>
      <c r="R111" s="1" t="s">
        <v>89</v>
      </c>
      <c r="S111" s="1"/>
      <c r="T111" s="31">
        <v>44768</v>
      </c>
      <c r="U111" s="1" t="s">
        <v>90</v>
      </c>
      <c r="V111" s="31">
        <v>44652</v>
      </c>
      <c r="W111" s="1">
        <f t="shared" ca="1" si="2"/>
        <v>4</v>
      </c>
      <c r="X111" s="1" cm="1">
        <f t="array" aca="1" ref="X111" ca="1">_xlfn.IFS(W110=1,8%,W110=2,10%,W110&gt;2,10%,W110&lt;1,0)</f>
        <v>0.1</v>
      </c>
      <c r="Y111" s="35">
        <f t="shared" ca="1" si="3"/>
        <v>117.45</v>
      </c>
      <c r="Z111" s="40"/>
      <c r="AA111" s="1" t="str">
        <f>LEFT(PMS_Catalog[[#This Row],[WU Id]],3)</f>
        <v>PMS</v>
      </c>
    </row>
    <row r="112" spans="1:27" ht="39" customHeight="1">
      <c r="A112" s="1" t="s">
        <v>559</v>
      </c>
      <c r="B112" s="1" t="s">
        <v>78</v>
      </c>
      <c r="C112" s="1" t="s">
        <v>92</v>
      </c>
      <c r="D112" s="1" t="s">
        <v>124</v>
      </c>
      <c r="E112" s="1" t="s">
        <v>124</v>
      </c>
      <c r="F112" s="11" t="s">
        <v>192</v>
      </c>
      <c r="G112" s="21" t="s">
        <v>560</v>
      </c>
      <c r="H112" s="21" t="s">
        <v>561</v>
      </c>
      <c r="I112" s="1" t="s">
        <v>128</v>
      </c>
      <c r="J112" s="1" t="s">
        <v>128</v>
      </c>
      <c r="K112" s="1" t="s">
        <v>89</v>
      </c>
      <c r="L112" s="1" t="s">
        <v>543</v>
      </c>
      <c r="M112" s="2">
        <v>21.75</v>
      </c>
      <c r="N112" s="30">
        <v>4</v>
      </c>
      <c r="O112" s="30">
        <f>IF(ISNUMBER(SEARCH("IMS",PMS_Catalog[[#This Row],[WU Id]])),"IMS",PMS_Catalog[[#This Row],[UNIQUE PRICE per hour]]*PMS_Catalog[[#This Row],[PMS Effort (Hours)]])</f>
        <v>87</v>
      </c>
      <c r="P112" s="30">
        <v>10</v>
      </c>
      <c r="Q112" s="53" t="s">
        <v>88</v>
      </c>
      <c r="R112" s="1" t="s">
        <v>89</v>
      </c>
      <c r="S112" s="1"/>
      <c r="T112" s="31">
        <v>44768</v>
      </c>
      <c r="U112" s="1" t="s">
        <v>90</v>
      </c>
      <c r="V112" s="31">
        <v>44652</v>
      </c>
      <c r="W112" s="1">
        <f t="shared" ca="1" si="2"/>
        <v>4</v>
      </c>
      <c r="X112" s="1" cm="1">
        <f t="array" aca="1" ref="X112" ca="1">_xlfn.IFS(W111=1,8%,W111=2,10%,W111&gt;2,10%,W111&lt;1,0)</f>
        <v>0.1</v>
      </c>
      <c r="Y112" s="35">
        <f t="shared" ca="1" si="3"/>
        <v>78.3</v>
      </c>
      <c r="Z112" s="40"/>
      <c r="AA112" s="1" t="str">
        <f>LEFT(PMS_Catalog[[#This Row],[WU Id]],3)</f>
        <v>PMS</v>
      </c>
    </row>
    <row r="113" spans="1:27" ht="39" customHeight="1">
      <c r="A113" s="1" t="s">
        <v>562</v>
      </c>
      <c r="B113" s="1" t="s">
        <v>78</v>
      </c>
      <c r="C113" s="1" t="s">
        <v>92</v>
      </c>
      <c r="D113" s="1" t="s">
        <v>124</v>
      </c>
      <c r="E113" s="1" t="s">
        <v>124</v>
      </c>
      <c r="F113" s="11" t="s">
        <v>192</v>
      </c>
      <c r="G113" s="21" t="s">
        <v>563</v>
      </c>
      <c r="H113" s="21" t="s">
        <v>564</v>
      </c>
      <c r="I113" s="1" t="s">
        <v>128</v>
      </c>
      <c r="J113" s="1" t="s">
        <v>128</v>
      </c>
      <c r="K113" s="1" t="s">
        <v>89</v>
      </c>
      <c r="L113" s="1" t="s">
        <v>518</v>
      </c>
      <c r="M113" s="2">
        <v>21.75</v>
      </c>
      <c r="N113" s="30">
        <v>16</v>
      </c>
      <c r="O113" s="30">
        <f>IF(ISNUMBER(SEARCH("IMS",PMS_Catalog[[#This Row],[WU Id]])),"IMS",PMS_Catalog[[#This Row],[UNIQUE PRICE per hour]]*PMS_Catalog[[#This Row],[PMS Effort (Hours)]])</f>
        <v>348</v>
      </c>
      <c r="P113" s="30">
        <v>20</v>
      </c>
      <c r="Q113" s="53" t="s">
        <v>88</v>
      </c>
      <c r="R113" s="1" t="s">
        <v>89</v>
      </c>
      <c r="S113" s="1"/>
      <c r="T113" s="31">
        <v>44768</v>
      </c>
      <c r="U113" s="1" t="s">
        <v>90</v>
      </c>
      <c r="V113" s="31">
        <v>44652</v>
      </c>
      <c r="W113" s="1">
        <f t="shared" ca="1" si="2"/>
        <v>4</v>
      </c>
      <c r="X113" s="1" cm="1">
        <f t="array" aca="1" ref="X113" ca="1">_xlfn.IFS(W112=1,8%,W112=2,10%,W112&gt;2,10%,W112&lt;1,0)</f>
        <v>0.1</v>
      </c>
      <c r="Y113" s="35">
        <f t="shared" ca="1" si="3"/>
        <v>313.2</v>
      </c>
      <c r="Z113" s="40"/>
      <c r="AA113" s="1" t="str">
        <f>LEFT(PMS_Catalog[[#This Row],[WU Id]],3)</f>
        <v>PMS</v>
      </c>
    </row>
    <row r="114" spans="1:27" ht="39" customHeight="1">
      <c r="A114" s="1" t="s">
        <v>565</v>
      </c>
      <c r="B114" s="1" t="s">
        <v>78</v>
      </c>
      <c r="C114" s="1" t="s">
        <v>131</v>
      </c>
      <c r="D114" s="1" t="s">
        <v>566</v>
      </c>
      <c r="E114" s="44" t="s">
        <v>566</v>
      </c>
      <c r="F114" s="11" t="s">
        <v>192</v>
      </c>
      <c r="G114" s="21" t="s">
        <v>567</v>
      </c>
      <c r="H114" s="21" t="s">
        <v>568</v>
      </c>
      <c r="I114" s="1" t="s">
        <v>128</v>
      </c>
      <c r="J114" s="1" t="s">
        <v>128</v>
      </c>
      <c r="K114" s="1" t="s">
        <v>89</v>
      </c>
      <c r="L114" s="1" t="s">
        <v>240</v>
      </c>
      <c r="M114" s="2">
        <v>21.75</v>
      </c>
      <c r="N114" s="30">
        <v>10.199999999999999</v>
      </c>
      <c r="O114" s="30">
        <f>IF(ISNUMBER(SEARCH("IMS",PMS_Catalog[[#This Row],[WU Id]])),"IMS",PMS_Catalog[[#This Row],[UNIQUE PRICE per hour]]*PMS_Catalog[[#This Row],[PMS Effort (Hours)]])</f>
        <v>221.85</v>
      </c>
      <c r="P114" s="30">
        <v>7</v>
      </c>
      <c r="Q114" s="53" t="s">
        <v>88</v>
      </c>
      <c r="R114" s="1" t="s">
        <v>89</v>
      </c>
      <c r="S114" s="1"/>
      <c r="T114" s="31">
        <v>44768</v>
      </c>
      <c r="U114" s="1" t="s">
        <v>90</v>
      </c>
      <c r="V114" s="31">
        <v>44652</v>
      </c>
      <c r="W114" s="1">
        <f t="shared" ca="1" si="2"/>
        <v>4</v>
      </c>
      <c r="X114" s="1" cm="1">
        <f t="array" aca="1" ref="X114" ca="1">_xlfn.IFS(W113=1,8%,W113=2,10%,W113&gt;2,10%,W113&lt;1,0)</f>
        <v>0.1</v>
      </c>
      <c r="Y114" s="35">
        <f t="shared" ca="1" si="3"/>
        <v>199.66499999999999</v>
      </c>
      <c r="Z114" s="40"/>
      <c r="AA114" s="1" t="str">
        <f>LEFT(PMS_Catalog[[#This Row],[WU Id]],3)</f>
        <v>PMS</v>
      </c>
    </row>
    <row r="115" spans="1:27" ht="39" customHeight="1">
      <c r="A115" s="1" t="s">
        <v>569</v>
      </c>
      <c r="B115" s="1" t="s">
        <v>78</v>
      </c>
      <c r="C115" s="1" t="s">
        <v>131</v>
      </c>
      <c r="D115" s="1" t="s">
        <v>566</v>
      </c>
      <c r="E115" s="44" t="s">
        <v>566</v>
      </c>
      <c r="F115" s="11" t="s">
        <v>192</v>
      </c>
      <c r="G115" s="21" t="s">
        <v>570</v>
      </c>
      <c r="H115" s="21" t="s">
        <v>571</v>
      </c>
      <c r="I115" s="1" t="s">
        <v>128</v>
      </c>
      <c r="J115" s="1" t="s">
        <v>128</v>
      </c>
      <c r="K115" s="1" t="s">
        <v>89</v>
      </c>
      <c r="L115" s="1" t="s">
        <v>246</v>
      </c>
      <c r="M115" s="2">
        <v>21.75</v>
      </c>
      <c r="N115" s="30">
        <v>10.199999999999999</v>
      </c>
      <c r="O115" s="30">
        <f>IF(ISNUMBER(SEARCH("IMS",PMS_Catalog[[#This Row],[WU Id]])),"IMS",PMS_Catalog[[#This Row],[UNIQUE PRICE per hour]]*PMS_Catalog[[#This Row],[PMS Effort (Hours)]])</f>
        <v>221.85</v>
      </c>
      <c r="P115" s="30">
        <v>10</v>
      </c>
      <c r="Q115" s="53" t="s">
        <v>88</v>
      </c>
      <c r="R115" s="1" t="s">
        <v>89</v>
      </c>
      <c r="S115" s="1"/>
      <c r="T115" s="31">
        <v>44768</v>
      </c>
      <c r="U115" s="1" t="s">
        <v>90</v>
      </c>
      <c r="V115" s="31">
        <v>44652</v>
      </c>
      <c r="W115" s="1">
        <f t="shared" ca="1" si="2"/>
        <v>4</v>
      </c>
      <c r="X115" s="1" cm="1">
        <f t="array" aca="1" ref="X115" ca="1">_xlfn.IFS(W114=1,8%,W114=2,10%,W114&gt;2,10%,W114&lt;1,0)</f>
        <v>0.1</v>
      </c>
      <c r="Y115" s="35">
        <f t="shared" ca="1" si="3"/>
        <v>199.66499999999999</v>
      </c>
      <c r="Z115" s="40"/>
      <c r="AA115" s="1" t="str">
        <f>LEFT(PMS_Catalog[[#This Row],[WU Id]],3)</f>
        <v>PMS</v>
      </c>
    </row>
    <row r="116" spans="1:27" ht="39" customHeight="1">
      <c r="A116" s="1" t="s">
        <v>572</v>
      </c>
      <c r="B116" s="1" t="s">
        <v>78</v>
      </c>
      <c r="C116" s="1" t="s">
        <v>131</v>
      </c>
      <c r="D116" s="1" t="s">
        <v>132</v>
      </c>
      <c r="E116" s="1" t="s">
        <v>133</v>
      </c>
      <c r="F116" s="11" t="s">
        <v>192</v>
      </c>
      <c r="G116" s="21" t="s">
        <v>573</v>
      </c>
      <c r="H116" s="21">
        <v>0</v>
      </c>
      <c r="I116" s="1" t="s">
        <v>574</v>
      </c>
      <c r="J116" s="1" t="s">
        <v>575</v>
      </c>
      <c r="K116" s="1" t="s">
        <v>576</v>
      </c>
      <c r="L116" s="1" t="s">
        <v>136</v>
      </c>
      <c r="M116" s="2">
        <v>21.75</v>
      </c>
      <c r="N116" s="30">
        <v>1.7</v>
      </c>
      <c r="O116" s="30">
        <f>IF(ISNUMBER(SEARCH("IMS",PMS_Catalog[[#This Row],[WU Id]])),"IMS",PMS_Catalog[[#This Row],[UNIQUE PRICE per hour]]*PMS_Catalog[[#This Row],[PMS Effort (Hours)]])</f>
        <v>36.975000000000001</v>
      </c>
      <c r="P116" s="30">
        <v>7</v>
      </c>
      <c r="Q116" s="53" t="s">
        <v>88</v>
      </c>
      <c r="R116" s="1" t="s">
        <v>89</v>
      </c>
      <c r="S116" s="1"/>
      <c r="T116" s="31">
        <v>44768</v>
      </c>
      <c r="U116" s="1" t="s">
        <v>90</v>
      </c>
      <c r="V116" s="31">
        <v>44652</v>
      </c>
      <c r="W116" s="1">
        <f t="shared" ca="1" si="2"/>
        <v>4</v>
      </c>
      <c r="X116" s="1" cm="1">
        <f t="array" aca="1" ref="X116" ca="1">_xlfn.IFS(W115=1,8%,W115=2,10%,W115&gt;2,10%,W115&lt;1,0)</f>
        <v>0.1</v>
      </c>
      <c r="Y116" s="35">
        <f t="shared" ca="1" si="3"/>
        <v>33.277500000000003</v>
      </c>
      <c r="Z116" s="40"/>
      <c r="AA116" s="1" t="str">
        <f>LEFT(PMS_Catalog[[#This Row],[WU Id]],3)</f>
        <v>PMS</v>
      </c>
    </row>
    <row r="117" spans="1:27" ht="39" customHeight="1">
      <c r="A117" s="1" t="s">
        <v>577</v>
      </c>
      <c r="B117" s="1" t="s">
        <v>78</v>
      </c>
      <c r="C117" s="1" t="s">
        <v>131</v>
      </c>
      <c r="D117" s="1" t="s">
        <v>132</v>
      </c>
      <c r="E117" s="1" t="s">
        <v>133</v>
      </c>
      <c r="F117" s="11" t="s">
        <v>192</v>
      </c>
      <c r="G117" s="21" t="s">
        <v>578</v>
      </c>
      <c r="H117" s="21">
        <v>0</v>
      </c>
      <c r="I117" s="1" t="s">
        <v>574</v>
      </c>
      <c r="J117" s="1" t="s">
        <v>575</v>
      </c>
      <c r="K117" s="1" t="s">
        <v>576</v>
      </c>
      <c r="L117" s="1" t="s">
        <v>136</v>
      </c>
      <c r="M117" s="2">
        <v>21.75</v>
      </c>
      <c r="N117" s="30">
        <v>1.7</v>
      </c>
      <c r="O117" s="30">
        <f>IF(ISNUMBER(SEARCH("IMS",PMS_Catalog[[#This Row],[WU Id]])),"IMS",PMS_Catalog[[#This Row],[UNIQUE PRICE per hour]]*PMS_Catalog[[#This Row],[PMS Effort (Hours)]])</f>
        <v>36.975000000000001</v>
      </c>
      <c r="P117" s="30">
        <v>5</v>
      </c>
      <c r="Q117" s="53" t="s">
        <v>88</v>
      </c>
      <c r="R117" s="1" t="s">
        <v>89</v>
      </c>
      <c r="S117" s="1"/>
      <c r="T117" s="31">
        <v>44768</v>
      </c>
      <c r="U117" s="1" t="s">
        <v>90</v>
      </c>
      <c r="V117" s="31">
        <v>44652</v>
      </c>
      <c r="W117" s="1">
        <f t="shared" ca="1" si="2"/>
        <v>4</v>
      </c>
      <c r="X117" s="1" cm="1">
        <f t="array" aca="1" ref="X117" ca="1">_xlfn.IFS(W116=1,8%,W116=2,10%,W116&gt;2,10%,W116&lt;1,0)</f>
        <v>0.1</v>
      </c>
      <c r="Y117" s="35">
        <f t="shared" ca="1" si="3"/>
        <v>33.277500000000003</v>
      </c>
      <c r="Z117" s="40"/>
      <c r="AA117" s="1" t="str">
        <f>LEFT(PMS_Catalog[[#This Row],[WU Id]],3)</f>
        <v>PMS</v>
      </c>
    </row>
    <row r="118" spans="1:27" ht="39" customHeight="1">
      <c r="A118" s="1" t="s">
        <v>579</v>
      </c>
      <c r="B118" s="1" t="s">
        <v>78</v>
      </c>
      <c r="C118" s="1" t="s">
        <v>131</v>
      </c>
      <c r="D118" s="1" t="s">
        <v>132</v>
      </c>
      <c r="E118" s="1" t="s">
        <v>133</v>
      </c>
      <c r="F118" s="11" t="s">
        <v>552</v>
      </c>
      <c r="G118" s="21" t="s">
        <v>580</v>
      </c>
      <c r="H118" s="21">
        <v>0</v>
      </c>
      <c r="I118" s="1" t="s">
        <v>89</v>
      </c>
      <c r="J118" s="1" t="s">
        <v>89</v>
      </c>
      <c r="K118" s="1" t="s">
        <v>89</v>
      </c>
      <c r="L118" s="1" t="s">
        <v>581</v>
      </c>
      <c r="M118" s="2">
        <v>21.75</v>
      </c>
      <c r="N118" s="30">
        <v>5</v>
      </c>
      <c r="O118" s="30">
        <f>IF(ISNUMBER(SEARCH("IMS",PMS_Catalog[[#This Row],[WU Id]])),"IMS",PMS_Catalog[[#This Row],[UNIQUE PRICE per hour]]*PMS_Catalog[[#This Row],[PMS Effort (Hours)]])</f>
        <v>108.75</v>
      </c>
      <c r="P118" s="30">
        <v>2</v>
      </c>
      <c r="Q118" s="53" t="s">
        <v>88</v>
      </c>
      <c r="R118" s="1" t="s">
        <v>89</v>
      </c>
      <c r="S118" s="1"/>
      <c r="T118" s="31">
        <v>44768</v>
      </c>
      <c r="U118" s="1" t="s">
        <v>90</v>
      </c>
      <c r="V118" s="31">
        <v>44652</v>
      </c>
      <c r="W118" s="1">
        <f t="shared" ca="1" si="2"/>
        <v>4</v>
      </c>
      <c r="X118" s="1" cm="1">
        <f t="array" aca="1" ref="X118" ca="1">_xlfn.IFS(W117=1,8%,W117=2,10%,W117&gt;2,10%,W117&lt;1,0)</f>
        <v>0.1</v>
      </c>
      <c r="Y118" s="35">
        <f t="shared" ca="1" si="3"/>
        <v>97.875</v>
      </c>
      <c r="Z118" s="40"/>
      <c r="AA118" s="1" t="str">
        <f>LEFT(PMS_Catalog[[#This Row],[WU Id]],3)</f>
        <v>PMS</v>
      </c>
    </row>
    <row r="119" spans="1:27" ht="39" customHeight="1">
      <c r="A119" s="1" t="s">
        <v>582</v>
      </c>
      <c r="B119" s="1" t="s">
        <v>78</v>
      </c>
      <c r="C119" s="1" t="s">
        <v>248</v>
      </c>
      <c r="D119" s="1" t="s">
        <v>249</v>
      </c>
      <c r="E119" s="1" t="s">
        <v>249</v>
      </c>
      <c r="F119" s="11" t="s">
        <v>280</v>
      </c>
      <c r="G119" s="21" t="s">
        <v>583</v>
      </c>
      <c r="H119" s="21" t="s">
        <v>584</v>
      </c>
      <c r="I119" s="1" t="s">
        <v>89</v>
      </c>
      <c r="J119" s="1" t="s">
        <v>89</v>
      </c>
      <c r="K119" s="1" t="s">
        <v>89</v>
      </c>
      <c r="L119" s="1" t="s">
        <v>585</v>
      </c>
      <c r="M119" s="2">
        <v>21.75</v>
      </c>
      <c r="N119" s="30">
        <v>11</v>
      </c>
      <c r="O119" s="30">
        <f>IF(ISNUMBER(SEARCH("IMS",PMS_Catalog[[#This Row],[WU Id]])),"IMS",PMS_Catalog[[#This Row],[UNIQUE PRICE per hour]]*PMS_Catalog[[#This Row],[PMS Effort (Hours)]])</f>
        <v>239.25</v>
      </c>
      <c r="P119" s="30">
        <v>3</v>
      </c>
      <c r="Q119" s="53" t="s">
        <v>88</v>
      </c>
      <c r="R119" s="1" t="s">
        <v>89</v>
      </c>
      <c r="S119" s="1"/>
      <c r="T119" s="31">
        <v>44768</v>
      </c>
      <c r="U119" s="1" t="s">
        <v>90</v>
      </c>
      <c r="V119" s="31">
        <v>44652</v>
      </c>
      <c r="W119" s="1">
        <f t="shared" ca="1" si="2"/>
        <v>4</v>
      </c>
      <c r="X119" s="1" cm="1">
        <f t="array" aca="1" ref="X119" ca="1">_xlfn.IFS(W118=1,8%,W118=2,10%,W118&gt;2,10%,W118&lt;1,0)</f>
        <v>0.1</v>
      </c>
      <c r="Y119" s="35">
        <f t="shared" ca="1" si="3"/>
        <v>215.32499999999999</v>
      </c>
      <c r="Z119" s="40"/>
      <c r="AA119" s="1" t="str">
        <f>LEFT(PMS_Catalog[[#This Row],[WU Id]],3)</f>
        <v>PMS</v>
      </c>
    </row>
    <row r="120" spans="1:27" ht="39" customHeight="1">
      <c r="A120" s="1" t="s">
        <v>586</v>
      </c>
      <c r="B120" s="1" t="s">
        <v>78</v>
      </c>
      <c r="C120" s="1" t="s">
        <v>248</v>
      </c>
      <c r="D120" s="1" t="s">
        <v>249</v>
      </c>
      <c r="E120" s="1" t="s">
        <v>249</v>
      </c>
      <c r="F120" s="11" t="s">
        <v>280</v>
      </c>
      <c r="G120" s="21" t="s">
        <v>587</v>
      </c>
      <c r="H120" s="21" t="s">
        <v>588</v>
      </c>
      <c r="I120" s="1" t="s">
        <v>89</v>
      </c>
      <c r="J120" s="1" t="s">
        <v>89</v>
      </c>
      <c r="K120" s="1" t="s">
        <v>89</v>
      </c>
      <c r="L120" s="1" t="s">
        <v>589</v>
      </c>
      <c r="M120" s="2">
        <v>21.75</v>
      </c>
      <c r="N120" s="30">
        <v>60</v>
      </c>
      <c r="O120" s="30">
        <f>IF(ISNUMBER(SEARCH("IMS",PMS_Catalog[[#This Row],[WU Id]])),"IMS",PMS_Catalog[[#This Row],[UNIQUE PRICE per hour]]*PMS_Catalog[[#This Row],[PMS Effort (Hours)]])</f>
        <v>1305</v>
      </c>
      <c r="P120" s="30">
        <v>3</v>
      </c>
      <c r="Q120" s="53" t="s">
        <v>88</v>
      </c>
      <c r="R120" s="1" t="s">
        <v>89</v>
      </c>
      <c r="S120" s="1"/>
      <c r="T120" s="31">
        <v>44768</v>
      </c>
      <c r="U120" s="1" t="s">
        <v>90</v>
      </c>
      <c r="V120" s="31">
        <v>44652</v>
      </c>
      <c r="W120" s="1">
        <f t="shared" ca="1" si="2"/>
        <v>4</v>
      </c>
      <c r="X120" s="1" cm="1">
        <f t="array" aca="1" ref="X120" ca="1">_xlfn.IFS(W119=1,8%,W119=2,10%,W119&gt;2,10%,W119&lt;1,0)</f>
        <v>0.1</v>
      </c>
      <c r="Y120" s="35">
        <f t="shared" ca="1" si="3"/>
        <v>1174.5</v>
      </c>
      <c r="Z120" s="40"/>
      <c r="AA120" s="1" t="str">
        <f>LEFT(PMS_Catalog[[#This Row],[WU Id]],3)</f>
        <v>PMS</v>
      </c>
    </row>
    <row r="121" spans="1:27" ht="39" customHeight="1">
      <c r="A121" s="1" t="s">
        <v>590</v>
      </c>
      <c r="B121" s="1" t="s">
        <v>78</v>
      </c>
      <c r="C121" s="1" t="s">
        <v>248</v>
      </c>
      <c r="D121" s="1" t="s">
        <v>249</v>
      </c>
      <c r="E121" s="1" t="s">
        <v>249</v>
      </c>
      <c r="F121" s="11" t="s">
        <v>280</v>
      </c>
      <c r="G121" s="21" t="s">
        <v>591</v>
      </c>
      <c r="H121" s="21" t="s">
        <v>592</v>
      </c>
      <c r="I121" s="1" t="s">
        <v>89</v>
      </c>
      <c r="J121" s="1" t="s">
        <v>89</v>
      </c>
      <c r="K121" s="1" t="s">
        <v>89</v>
      </c>
      <c r="L121" s="1" t="s">
        <v>593</v>
      </c>
      <c r="M121" s="2">
        <v>21.75</v>
      </c>
      <c r="N121" s="30">
        <v>46.5</v>
      </c>
      <c r="O121" s="30">
        <f>IF(ISNUMBER(SEARCH("IMS",PMS_Catalog[[#This Row],[WU Id]])),"IMS",PMS_Catalog[[#This Row],[UNIQUE PRICE per hour]]*PMS_Catalog[[#This Row],[PMS Effort (Hours)]])</f>
        <v>1011.375</v>
      </c>
      <c r="P121" s="30">
        <v>10</v>
      </c>
      <c r="Q121" s="53" t="s">
        <v>88</v>
      </c>
      <c r="R121" s="1" t="s">
        <v>89</v>
      </c>
      <c r="S121" s="1"/>
      <c r="T121" s="31">
        <v>44768</v>
      </c>
      <c r="U121" s="1" t="s">
        <v>90</v>
      </c>
      <c r="V121" s="31">
        <v>44652</v>
      </c>
      <c r="W121" s="1">
        <f t="shared" ca="1" si="2"/>
        <v>4</v>
      </c>
      <c r="X121" s="1" cm="1">
        <f t="array" aca="1" ref="X121" ca="1">_xlfn.IFS(W120=1,8%,W120=2,10%,W120&gt;2,10%,W120&lt;1,0)</f>
        <v>0.1</v>
      </c>
      <c r="Y121" s="35">
        <f t="shared" ca="1" si="3"/>
        <v>910.23749999999995</v>
      </c>
      <c r="Z121" s="40"/>
      <c r="AA121" s="1" t="str">
        <f>LEFT(PMS_Catalog[[#This Row],[WU Id]],3)</f>
        <v>PMS</v>
      </c>
    </row>
    <row r="122" spans="1:27" ht="39" customHeight="1">
      <c r="A122" s="1" t="s">
        <v>594</v>
      </c>
      <c r="B122" s="1" t="s">
        <v>78</v>
      </c>
      <c r="C122" s="1" t="s">
        <v>248</v>
      </c>
      <c r="D122" s="1" t="s">
        <v>249</v>
      </c>
      <c r="E122" s="1" t="s">
        <v>249</v>
      </c>
      <c r="F122" s="11" t="s">
        <v>192</v>
      </c>
      <c r="G122" s="21" t="s">
        <v>595</v>
      </c>
      <c r="H122" s="21" t="s">
        <v>596</v>
      </c>
      <c r="I122" s="1" t="s">
        <v>89</v>
      </c>
      <c r="J122" s="1" t="s">
        <v>89</v>
      </c>
      <c r="K122" s="1" t="s">
        <v>89</v>
      </c>
      <c r="L122" s="1" t="s">
        <v>597</v>
      </c>
      <c r="M122" s="2">
        <v>21.75</v>
      </c>
      <c r="N122" s="30">
        <v>35</v>
      </c>
      <c r="O122" s="30">
        <f>IF(ISNUMBER(SEARCH("IMS",PMS_Catalog[[#This Row],[WU Id]])),"IMS",PMS_Catalog[[#This Row],[UNIQUE PRICE per hour]]*PMS_Catalog[[#This Row],[PMS Effort (Hours)]])</f>
        <v>761.25</v>
      </c>
      <c r="P122" s="30">
        <v>8</v>
      </c>
      <c r="Q122" s="53" t="s">
        <v>88</v>
      </c>
      <c r="R122" s="1" t="s">
        <v>89</v>
      </c>
      <c r="S122" s="1"/>
      <c r="T122" s="31">
        <v>44768</v>
      </c>
      <c r="U122" s="1" t="s">
        <v>90</v>
      </c>
      <c r="V122" s="31">
        <v>44652</v>
      </c>
      <c r="W122" s="1">
        <f t="shared" ca="1" si="2"/>
        <v>4</v>
      </c>
      <c r="X122" s="1" cm="1">
        <f t="array" aca="1" ref="X122" ca="1">_xlfn.IFS(W121=1,8%,W121=2,10%,W121&gt;2,10%,W121&lt;1,0)</f>
        <v>0.1</v>
      </c>
      <c r="Y122" s="35">
        <f t="shared" ca="1" si="3"/>
        <v>685.125</v>
      </c>
      <c r="Z122" s="40"/>
      <c r="AA122" s="1" t="str">
        <f>LEFT(PMS_Catalog[[#This Row],[WU Id]],3)</f>
        <v>PMS</v>
      </c>
    </row>
    <row r="123" spans="1:27" ht="39" customHeight="1">
      <c r="A123" s="1" t="s">
        <v>598</v>
      </c>
      <c r="B123" s="1" t="s">
        <v>78</v>
      </c>
      <c r="C123" s="1" t="s">
        <v>248</v>
      </c>
      <c r="D123" s="1" t="s">
        <v>249</v>
      </c>
      <c r="E123" s="1" t="s">
        <v>249</v>
      </c>
      <c r="F123" s="11" t="s">
        <v>599</v>
      </c>
      <c r="G123" s="21" t="s">
        <v>600</v>
      </c>
      <c r="H123" s="21" t="s">
        <v>601</v>
      </c>
      <c r="I123" s="1" t="s">
        <v>89</v>
      </c>
      <c r="J123" s="1" t="s">
        <v>89</v>
      </c>
      <c r="K123" s="1" t="s">
        <v>89</v>
      </c>
      <c r="L123" s="1" t="s">
        <v>602</v>
      </c>
      <c r="M123" s="2">
        <v>21.75</v>
      </c>
      <c r="N123" s="30">
        <v>15</v>
      </c>
      <c r="O123" s="30">
        <f>IF(ISNUMBER(SEARCH("IMS",PMS_Catalog[[#This Row],[WU Id]])),"IMS",PMS_Catalog[[#This Row],[UNIQUE PRICE per hour]]*PMS_Catalog[[#This Row],[PMS Effort (Hours)]])</f>
        <v>326.25</v>
      </c>
      <c r="P123" s="30">
        <v>3</v>
      </c>
      <c r="Q123" s="53" t="s">
        <v>88</v>
      </c>
      <c r="R123" s="1" t="s">
        <v>89</v>
      </c>
      <c r="S123" s="1"/>
      <c r="T123" s="31">
        <v>44768</v>
      </c>
      <c r="U123" s="1" t="s">
        <v>90</v>
      </c>
      <c r="V123" s="31">
        <v>44652</v>
      </c>
      <c r="W123" s="1">
        <f t="shared" ca="1" si="2"/>
        <v>4</v>
      </c>
      <c r="X123" s="1" cm="1">
        <f t="array" aca="1" ref="X123" ca="1">_xlfn.IFS(W122=1,8%,W122=2,10%,W122&gt;2,10%,W122&lt;1,0)</f>
        <v>0.1</v>
      </c>
      <c r="Y123" s="35">
        <f t="shared" ca="1" si="3"/>
        <v>293.625</v>
      </c>
      <c r="Z123" s="40"/>
      <c r="AA123" s="1" t="str">
        <f>LEFT(PMS_Catalog[[#This Row],[WU Id]],3)</f>
        <v>PMS</v>
      </c>
    </row>
    <row r="124" spans="1:27" ht="39" customHeight="1">
      <c r="A124" s="1" t="s">
        <v>603</v>
      </c>
      <c r="B124" s="1" t="s">
        <v>78</v>
      </c>
      <c r="C124" s="1" t="s">
        <v>92</v>
      </c>
      <c r="D124" s="1" t="s">
        <v>139</v>
      </c>
      <c r="E124" s="1" t="s">
        <v>139</v>
      </c>
      <c r="F124" s="11" t="s">
        <v>192</v>
      </c>
      <c r="G124" s="21" t="s">
        <v>604</v>
      </c>
      <c r="H124" s="21" t="s">
        <v>605</v>
      </c>
      <c r="I124" s="1" t="s">
        <v>89</v>
      </c>
      <c r="J124" s="1" t="s">
        <v>89</v>
      </c>
      <c r="K124" s="1" t="s">
        <v>89</v>
      </c>
      <c r="L124" s="1" t="s">
        <v>153</v>
      </c>
      <c r="M124" s="2">
        <v>21.75</v>
      </c>
      <c r="N124" s="30">
        <v>10</v>
      </c>
      <c r="O124" s="30">
        <f>IF(ISNUMBER(SEARCH("IMS",PMS_Catalog[[#This Row],[WU Id]])),"IMS",PMS_Catalog[[#This Row],[UNIQUE PRICE per hour]]*PMS_Catalog[[#This Row],[PMS Effort (Hours)]])</f>
        <v>217.5</v>
      </c>
      <c r="P124" s="30">
        <v>7</v>
      </c>
      <c r="Q124" s="53" t="s">
        <v>88</v>
      </c>
      <c r="R124" s="1" t="s">
        <v>89</v>
      </c>
      <c r="S124" s="1"/>
      <c r="T124" s="31">
        <v>45021</v>
      </c>
      <c r="U124" s="1" t="s">
        <v>149</v>
      </c>
      <c r="V124" s="31">
        <v>45021</v>
      </c>
      <c r="W124" s="1">
        <f t="shared" ca="1" si="2"/>
        <v>3</v>
      </c>
      <c r="X124" s="1" cm="1">
        <f t="array" aca="1" ref="X124" ca="1">_xlfn.IFS(W123=1,8%,W123=2,10%,W123&gt;2,10%,W123&lt;1,0)</f>
        <v>0.1</v>
      </c>
      <c r="Y124" s="35">
        <f t="shared" ca="1" si="3"/>
        <v>195.75</v>
      </c>
      <c r="Z124" s="40"/>
      <c r="AA124" s="1" t="str">
        <f>LEFT(PMS_Catalog[[#This Row],[WU Id]],3)</f>
        <v>PMS</v>
      </c>
    </row>
    <row r="125" spans="1:27" ht="39" customHeight="1">
      <c r="A125" s="1" t="s">
        <v>606</v>
      </c>
      <c r="B125" s="1" t="s">
        <v>78</v>
      </c>
      <c r="C125" s="1" t="s">
        <v>92</v>
      </c>
      <c r="D125" s="1" t="s">
        <v>139</v>
      </c>
      <c r="E125" s="1" t="s">
        <v>139</v>
      </c>
      <c r="F125" s="11" t="s">
        <v>192</v>
      </c>
      <c r="G125" s="21" t="s">
        <v>607</v>
      </c>
      <c r="H125" s="21" t="s">
        <v>608</v>
      </c>
      <c r="I125" s="1" t="s">
        <v>89</v>
      </c>
      <c r="J125" s="1" t="s">
        <v>89</v>
      </c>
      <c r="K125" s="1" t="s">
        <v>89</v>
      </c>
      <c r="L125" s="1" t="s">
        <v>609</v>
      </c>
      <c r="M125" s="2">
        <v>21.75</v>
      </c>
      <c r="N125" s="30">
        <v>6.5</v>
      </c>
      <c r="O125" s="30">
        <f>IF(ISNUMBER(SEARCH("IMS",PMS_Catalog[[#This Row],[WU Id]])),"IMS",PMS_Catalog[[#This Row],[UNIQUE PRICE per hour]]*PMS_Catalog[[#This Row],[PMS Effort (Hours)]])</f>
        <v>141.375</v>
      </c>
      <c r="P125" s="30">
        <v>15</v>
      </c>
      <c r="Q125" s="53" t="s">
        <v>88</v>
      </c>
      <c r="R125" s="1" t="s">
        <v>89</v>
      </c>
      <c r="S125" s="1"/>
      <c r="T125" s="31">
        <v>45021</v>
      </c>
      <c r="U125" s="1" t="s">
        <v>149</v>
      </c>
      <c r="V125" s="31">
        <v>45021</v>
      </c>
      <c r="W125" s="1">
        <f t="shared" ca="1" si="2"/>
        <v>3</v>
      </c>
      <c r="X125" s="1" cm="1">
        <f t="array" aca="1" ref="X125" ca="1">_xlfn.IFS(W124=1,8%,W124=2,10%,W124&gt;2,10%,W124&lt;1,0)</f>
        <v>0.1</v>
      </c>
      <c r="Y125" s="35">
        <f t="shared" ca="1" si="3"/>
        <v>127.2375</v>
      </c>
      <c r="Z125" s="40"/>
      <c r="AA125" s="1" t="str">
        <f>LEFT(PMS_Catalog[[#This Row],[WU Id]],3)</f>
        <v>PMS</v>
      </c>
    </row>
    <row r="126" spans="1:27" ht="39" customHeight="1">
      <c r="A126" s="1" t="s">
        <v>610</v>
      </c>
      <c r="B126" s="1" t="s">
        <v>78</v>
      </c>
      <c r="C126" s="1" t="s">
        <v>92</v>
      </c>
      <c r="D126" s="1" t="s">
        <v>139</v>
      </c>
      <c r="E126" s="1" t="s">
        <v>139</v>
      </c>
      <c r="F126" s="11" t="s">
        <v>192</v>
      </c>
      <c r="G126" s="21" t="s">
        <v>611</v>
      </c>
      <c r="H126" s="21" t="s">
        <v>612</v>
      </c>
      <c r="I126" s="1" t="s">
        <v>89</v>
      </c>
      <c r="J126" s="1" t="s">
        <v>89</v>
      </c>
      <c r="K126" s="1" t="s">
        <v>89</v>
      </c>
      <c r="L126" s="1" t="s">
        <v>613</v>
      </c>
      <c r="M126" s="2">
        <v>21.75</v>
      </c>
      <c r="N126" s="30">
        <v>4.5</v>
      </c>
      <c r="O126" s="30">
        <f>IF(ISNUMBER(SEARCH("IMS",PMS_Catalog[[#This Row],[WU Id]])),"IMS",PMS_Catalog[[#This Row],[UNIQUE PRICE per hour]]*PMS_Catalog[[#This Row],[PMS Effort (Hours)]])</f>
        <v>97.875</v>
      </c>
      <c r="P126" s="30">
        <v>15</v>
      </c>
      <c r="Q126" s="53" t="s">
        <v>88</v>
      </c>
      <c r="R126" s="1" t="s">
        <v>89</v>
      </c>
      <c r="S126" s="1"/>
      <c r="T126" s="31">
        <v>45021</v>
      </c>
      <c r="U126" s="1" t="s">
        <v>149</v>
      </c>
      <c r="V126" s="31">
        <v>45021</v>
      </c>
      <c r="W126" s="1">
        <f t="shared" ca="1" si="2"/>
        <v>3</v>
      </c>
      <c r="X126" s="1" cm="1">
        <f t="array" aca="1" ref="X126" ca="1">_xlfn.IFS(W125=1,8%,W125=2,10%,W125&gt;2,10%,W125&lt;1,0)</f>
        <v>0.1</v>
      </c>
      <c r="Y126" s="35">
        <f t="shared" ca="1" si="3"/>
        <v>88.087500000000006</v>
      </c>
      <c r="Z126" s="40"/>
      <c r="AA126" s="1" t="str">
        <f>LEFT(PMS_Catalog[[#This Row],[WU Id]],3)</f>
        <v>PMS</v>
      </c>
    </row>
    <row r="127" spans="1:27" ht="39" customHeight="1">
      <c r="A127" s="1" t="s">
        <v>614</v>
      </c>
      <c r="B127" s="1" t="s">
        <v>78</v>
      </c>
      <c r="C127" s="1" t="s">
        <v>92</v>
      </c>
      <c r="D127" s="1" t="s">
        <v>139</v>
      </c>
      <c r="E127" s="1" t="s">
        <v>139</v>
      </c>
      <c r="F127" s="11" t="s">
        <v>192</v>
      </c>
      <c r="G127" s="21" t="s">
        <v>615</v>
      </c>
      <c r="H127" s="21" t="s">
        <v>616</v>
      </c>
      <c r="I127" s="1" t="s">
        <v>89</v>
      </c>
      <c r="J127" s="1" t="s">
        <v>89</v>
      </c>
      <c r="K127" s="1" t="s">
        <v>89</v>
      </c>
      <c r="L127" s="1" t="s">
        <v>168</v>
      </c>
      <c r="M127" s="2">
        <v>21.75</v>
      </c>
      <c r="N127" s="30">
        <v>8</v>
      </c>
      <c r="O127" s="30">
        <f>IF(ISNUMBER(SEARCH("IMS",PMS_Catalog[[#This Row],[WU Id]])),"IMS",PMS_Catalog[[#This Row],[UNIQUE PRICE per hour]]*PMS_Catalog[[#This Row],[PMS Effort (Hours)]])</f>
        <v>174</v>
      </c>
      <c r="P127" s="30">
        <v>15</v>
      </c>
      <c r="Q127" s="53" t="s">
        <v>88</v>
      </c>
      <c r="R127" s="1" t="s">
        <v>89</v>
      </c>
      <c r="S127" s="1"/>
      <c r="T127" s="31">
        <v>45021</v>
      </c>
      <c r="U127" s="1" t="s">
        <v>149</v>
      </c>
      <c r="V127" s="31">
        <v>45021</v>
      </c>
      <c r="W127" s="1">
        <f t="shared" ca="1" si="2"/>
        <v>3</v>
      </c>
      <c r="X127" s="1" cm="1">
        <f t="array" aca="1" ref="X127" ca="1">_xlfn.IFS(W126=1,8%,W126=2,10%,W126&gt;2,10%,W126&lt;1,0)</f>
        <v>0.1</v>
      </c>
      <c r="Y127" s="35">
        <f t="shared" ca="1" si="3"/>
        <v>156.6</v>
      </c>
      <c r="Z127" s="40"/>
      <c r="AA127" s="1" t="str">
        <f>LEFT(PMS_Catalog[[#This Row],[WU Id]],3)</f>
        <v>PMS</v>
      </c>
    </row>
    <row r="128" spans="1:27" ht="39" customHeight="1">
      <c r="A128" s="1" t="s">
        <v>617</v>
      </c>
      <c r="B128" s="1" t="s">
        <v>78</v>
      </c>
      <c r="C128" s="1" t="s">
        <v>92</v>
      </c>
      <c r="D128" s="1" t="s">
        <v>139</v>
      </c>
      <c r="E128" s="1" t="s">
        <v>139</v>
      </c>
      <c r="F128" s="11" t="s">
        <v>192</v>
      </c>
      <c r="G128" s="21" t="s">
        <v>618</v>
      </c>
      <c r="H128" s="21" t="s">
        <v>619</v>
      </c>
      <c r="I128" s="1" t="s">
        <v>89</v>
      </c>
      <c r="J128" s="1" t="s">
        <v>89</v>
      </c>
      <c r="K128" s="1" t="s">
        <v>89</v>
      </c>
      <c r="L128" s="1" t="s">
        <v>620</v>
      </c>
      <c r="M128" s="2">
        <v>21.75</v>
      </c>
      <c r="N128" s="30">
        <v>4</v>
      </c>
      <c r="O128" s="30">
        <f>IF(ISNUMBER(SEARCH("IMS",PMS_Catalog[[#This Row],[WU Id]])),"IMS",PMS_Catalog[[#This Row],[UNIQUE PRICE per hour]]*PMS_Catalog[[#This Row],[PMS Effort (Hours)]])</f>
        <v>87</v>
      </c>
      <c r="P128" s="30">
        <v>7</v>
      </c>
      <c r="Q128" s="53" t="s">
        <v>88</v>
      </c>
      <c r="R128" s="1" t="s">
        <v>89</v>
      </c>
      <c r="S128" s="1"/>
      <c r="T128" s="31">
        <v>45021</v>
      </c>
      <c r="U128" s="1" t="s">
        <v>149</v>
      </c>
      <c r="V128" s="31">
        <v>45021</v>
      </c>
      <c r="W128" s="1">
        <f t="shared" ca="1" si="2"/>
        <v>3</v>
      </c>
      <c r="X128" s="1" cm="1">
        <f t="array" aca="1" ref="X128" ca="1">_xlfn.IFS(W127=1,8%,W127=2,10%,W127&gt;2,10%,W127&lt;1,0)</f>
        <v>0.1</v>
      </c>
      <c r="Y128" s="35">
        <f t="shared" ca="1" si="3"/>
        <v>78.3</v>
      </c>
      <c r="Z128" s="40"/>
      <c r="AA128" s="1" t="str">
        <f>LEFT(PMS_Catalog[[#This Row],[WU Id]],3)</f>
        <v>PMS</v>
      </c>
    </row>
    <row r="129" spans="1:27" ht="39" customHeight="1">
      <c r="A129" s="1" t="s">
        <v>621</v>
      </c>
      <c r="B129" s="1" t="s">
        <v>78</v>
      </c>
      <c r="C129" s="1" t="s">
        <v>92</v>
      </c>
      <c r="D129" s="1" t="s">
        <v>139</v>
      </c>
      <c r="E129" s="1" t="s">
        <v>139</v>
      </c>
      <c r="F129" s="11" t="s">
        <v>280</v>
      </c>
      <c r="G129" s="21" t="s">
        <v>622</v>
      </c>
      <c r="H129" s="21" t="s">
        <v>623</v>
      </c>
      <c r="I129" s="1" t="s">
        <v>89</v>
      </c>
      <c r="J129" s="1" t="s">
        <v>89</v>
      </c>
      <c r="K129" s="1" t="s">
        <v>89</v>
      </c>
      <c r="L129" s="1" t="s">
        <v>624</v>
      </c>
      <c r="M129" s="2">
        <v>21.75</v>
      </c>
      <c r="N129" s="30">
        <v>5</v>
      </c>
      <c r="O129" s="30">
        <f>IF(ISNUMBER(SEARCH("IMS",PMS_Catalog[[#This Row],[WU Id]])),"IMS",PMS_Catalog[[#This Row],[UNIQUE PRICE per hour]]*PMS_Catalog[[#This Row],[PMS Effort (Hours)]])</f>
        <v>108.75</v>
      </c>
      <c r="P129" s="30">
        <v>4</v>
      </c>
      <c r="Q129" s="53" t="s">
        <v>88</v>
      </c>
      <c r="R129" s="1" t="s">
        <v>89</v>
      </c>
      <c r="S129" s="1"/>
      <c r="T129" s="31">
        <v>45021</v>
      </c>
      <c r="U129" s="1" t="s">
        <v>149</v>
      </c>
      <c r="V129" s="31">
        <v>45021</v>
      </c>
      <c r="W129" s="1">
        <f t="shared" ca="1" si="2"/>
        <v>3</v>
      </c>
      <c r="X129" s="1" cm="1">
        <f t="array" aca="1" ref="X129" ca="1">_xlfn.IFS(W128=1,8%,W128=2,10%,W128&gt;2,10%,W128&lt;1,0)</f>
        <v>0.1</v>
      </c>
      <c r="Y129" s="35">
        <f t="shared" ca="1" si="3"/>
        <v>97.875</v>
      </c>
      <c r="Z129" s="40"/>
      <c r="AA129" s="1" t="str">
        <f>LEFT(PMS_Catalog[[#This Row],[WU Id]],3)</f>
        <v>PMS</v>
      </c>
    </row>
    <row r="130" spans="1:27" ht="39" customHeight="1">
      <c r="A130" s="1" t="s">
        <v>625</v>
      </c>
      <c r="B130" s="1" t="s">
        <v>78</v>
      </c>
      <c r="C130" s="1" t="s">
        <v>92</v>
      </c>
      <c r="D130" s="1" t="s">
        <v>138</v>
      </c>
      <c r="E130" s="1" t="s">
        <v>138</v>
      </c>
      <c r="F130" s="11" t="s">
        <v>192</v>
      </c>
      <c r="G130" s="21" t="s">
        <v>626</v>
      </c>
      <c r="H130" s="21" t="s">
        <v>627</v>
      </c>
      <c r="I130" s="1" t="s">
        <v>89</v>
      </c>
      <c r="J130" s="1" t="s">
        <v>89</v>
      </c>
      <c r="K130" s="1" t="s">
        <v>89</v>
      </c>
      <c r="L130" s="1" t="s">
        <v>628</v>
      </c>
      <c r="M130" s="2">
        <v>21.75</v>
      </c>
      <c r="N130" s="30">
        <v>15.299999999999999</v>
      </c>
      <c r="O130" s="30">
        <f>IF(ISNUMBER(SEARCH("IMS",PMS_Catalog[[#This Row],[WU Id]])),"IMS",PMS_Catalog[[#This Row],[UNIQUE PRICE per hour]]*PMS_Catalog[[#This Row],[PMS Effort (Hours)]])</f>
        <v>332.77499999999998</v>
      </c>
      <c r="P130" s="30">
        <v>7</v>
      </c>
      <c r="Q130" s="53" t="s">
        <v>88</v>
      </c>
      <c r="R130" s="1" t="s">
        <v>89</v>
      </c>
      <c r="S130" s="1"/>
      <c r="T130" s="31">
        <v>44768</v>
      </c>
      <c r="U130" s="1" t="s">
        <v>90</v>
      </c>
      <c r="V130" s="31">
        <v>44652</v>
      </c>
      <c r="W130" s="1">
        <f t="shared" ref="W130:W193" ca="1" si="4">DATEDIF(V130, TODAY(), "Y")</f>
        <v>4</v>
      </c>
      <c r="X130" s="1" cm="1">
        <f t="array" aca="1" ref="X130" ca="1">_xlfn.IFS(W129=1,8%,W129=2,10%,W129&gt;2,10%,W129&lt;1,0)</f>
        <v>0.1</v>
      </c>
      <c r="Y130" s="35">
        <f t="shared" ref="Y130:Y193" ca="1" si="5">IF(ISNUMBER(SEARCH("IMS",A130)),"IMS",O130-O130*X130)</f>
        <v>299.4975</v>
      </c>
      <c r="Z130" s="40"/>
      <c r="AA130" s="1" t="str">
        <f>LEFT(PMS_Catalog[[#This Row],[WU Id]],3)</f>
        <v>PMS</v>
      </c>
    </row>
    <row r="131" spans="1:27" ht="39" customHeight="1">
      <c r="A131" s="1" t="s">
        <v>629</v>
      </c>
      <c r="B131" s="1" t="s">
        <v>78</v>
      </c>
      <c r="C131" s="1" t="s">
        <v>92</v>
      </c>
      <c r="D131" s="1" t="s">
        <v>170</v>
      </c>
      <c r="E131" s="1" t="s">
        <v>262</v>
      </c>
      <c r="F131" s="12" t="s">
        <v>280</v>
      </c>
      <c r="G131" s="21" t="s">
        <v>630</v>
      </c>
      <c r="H131" s="21" t="s">
        <v>631</v>
      </c>
      <c r="I131" s="1" t="s">
        <v>89</v>
      </c>
      <c r="J131" s="1" t="s">
        <v>89</v>
      </c>
      <c r="K131" s="1" t="s">
        <v>89</v>
      </c>
      <c r="L131" s="1" t="s">
        <v>413</v>
      </c>
      <c r="M131" s="2">
        <v>21.75</v>
      </c>
      <c r="N131" s="30">
        <v>7</v>
      </c>
      <c r="O131" s="30">
        <f>IF(ISNUMBER(SEARCH("IMS",PMS_Catalog[[#This Row],[WU Id]])),"IMS",PMS_Catalog[[#This Row],[UNIQUE PRICE per hour]]*PMS_Catalog[[#This Row],[PMS Effort (Hours)]])</f>
        <v>152.25</v>
      </c>
      <c r="P131" s="30">
        <v>2</v>
      </c>
      <c r="Q131" s="53" t="s">
        <v>88</v>
      </c>
      <c r="R131" s="1" t="s">
        <v>89</v>
      </c>
      <c r="S131" s="1" t="s">
        <v>632</v>
      </c>
      <c r="T131" s="31">
        <v>44768</v>
      </c>
      <c r="U131" s="1" t="s">
        <v>90</v>
      </c>
      <c r="V131" s="31">
        <v>44652</v>
      </c>
      <c r="W131" s="1">
        <f t="shared" ca="1" si="4"/>
        <v>4</v>
      </c>
      <c r="X131" s="1" cm="1">
        <f t="array" aca="1" ref="X131" ca="1">_xlfn.IFS(W130=1,8%,W130=2,10%,W130&gt;2,10%,W130&lt;1,0)</f>
        <v>0.1</v>
      </c>
      <c r="Y131" s="35">
        <f t="shared" ca="1" si="5"/>
        <v>137.02500000000001</v>
      </c>
      <c r="Z131" s="40"/>
      <c r="AA131" s="1" t="str">
        <f>LEFT(PMS_Catalog[[#This Row],[WU Id]],3)</f>
        <v>PMS</v>
      </c>
    </row>
    <row r="132" spans="1:27" ht="39" customHeight="1">
      <c r="A132" s="1" t="s">
        <v>633</v>
      </c>
      <c r="B132" s="1" t="s">
        <v>78</v>
      </c>
      <c r="C132" s="1" t="s">
        <v>92</v>
      </c>
      <c r="D132" s="1" t="s">
        <v>170</v>
      </c>
      <c r="E132" s="1" t="s">
        <v>177</v>
      </c>
      <c r="F132" s="12" t="s">
        <v>280</v>
      </c>
      <c r="G132" s="21" t="s">
        <v>634</v>
      </c>
      <c r="H132" s="21" t="s">
        <v>635</v>
      </c>
      <c r="I132" s="1" t="s">
        <v>89</v>
      </c>
      <c r="J132" s="1" t="s">
        <v>89</v>
      </c>
      <c r="K132" s="1" t="s">
        <v>89</v>
      </c>
      <c r="L132" s="1" t="s">
        <v>636</v>
      </c>
      <c r="M132" s="2">
        <v>21.75</v>
      </c>
      <c r="N132" s="30">
        <v>10</v>
      </c>
      <c r="O132" s="30">
        <f>IF(ISNUMBER(SEARCH("IMS",PMS_Catalog[[#This Row],[WU Id]])),"IMS",PMS_Catalog[[#This Row],[UNIQUE PRICE per hour]]*PMS_Catalog[[#This Row],[PMS Effort (Hours)]])</f>
        <v>217.5</v>
      </c>
      <c r="P132" s="30">
        <v>10</v>
      </c>
      <c r="Q132" s="53" t="s">
        <v>88</v>
      </c>
      <c r="R132" s="1" t="s">
        <v>89</v>
      </c>
      <c r="S132" s="1" t="s">
        <v>637</v>
      </c>
      <c r="T132" s="31">
        <v>44768</v>
      </c>
      <c r="U132" s="1" t="s">
        <v>90</v>
      </c>
      <c r="V132" s="31">
        <v>44652</v>
      </c>
      <c r="W132" s="1">
        <f t="shared" ca="1" si="4"/>
        <v>4</v>
      </c>
      <c r="X132" s="1" cm="1">
        <f t="array" aca="1" ref="X132" ca="1">_xlfn.IFS(W131=1,8%,W131=2,10%,W131&gt;2,10%,W131&lt;1,0)</f>
        <v>0.1</v>
      </c>
      <c r="Y132" s="35">
        <f t="shared" ca="1" si="5"/>
        <v>195.75</v>
      </c>
      <c r="Z132" s="40"/>
      <c r="AA132" s="1" t="str">
        <f>LEFT(PMS_Catalog[[#This Row],[WU Id]],3)</f>
        <v>PMS</v>
      </c>
    </row>
    <row r="133" spans="1:27" ht="39" customHeight="1">
      <c r="A133" s="1" t="s">
        <v>638</v>
      </c>
      <c r="B133" s="1" t="s">
        <v>78</v>
      </c>
      <c r="C133" s="1" t="s">
        <v>92</v>
      </c>
      <c r="D133" s="1" t="s">
        <v>170</v>
      </c>
      <c r="E133" s="1" t="s">
        <v>262</v>
      </c>
      <c r="F133" s="12" t="s">
        <v>280</v>
      </c>
      <c r="G133" s="21" t="s">
        <v>639</v>
      </c>
      <c r="H133" s="21" t="s">
        <v>640</v>
      </c>
      <c r="I133" s="1" t="s">
        <v>89</v>
      </c>
      <c r="J133" s="1" t="s">
        <v>89</v>
      </c>
      <c r="K133" s="1" t="s">
        <v>89</v>
      </c>
      <c r="L133" s="1" t="s">
        <v>413</v>
      </c>
      <c r="M133" s="2">
        <v>21.75</v>
      </c>
      <c r="N133" s="30">
        <v>10</v>
      </c>
      <c r="O133" s="30">
        <f>IF(ISNUMBER(SEARCH("IMS",PMS_Catalog[[#This Row],[WU Id]])),"IMS",PMS_Catalog[[#This Row],[UNIQUE PRICE per hour]]*PMS_Catalog[[#This Row],[PMS Effort (Hours)]])</f>
        <v>217.5</v>
      </c>
      <c r="P133" s="30">
        <v>10</v>
      </c>
      <c r="Q133" s="53" t="s">
        <v>88</v>
      </c>
      <c r="R133" s="1" t="s">
        <v>89</v>
      </c>
      <c r="S133" s="1"/>
      <c r="T133" s="31">
        <v>44768</v>
      </c>
      <c r="U133" s="1" t="s">
        <v>90</v>
      </c>
      <c r="V133" s="31">
        <v>44652</v>
      </c>
      <c r="W133" s="1">
        <f t="shared" ca="1" si="4"/>
        <v>4</v>
      </c>
      <c r="X133" s="1" cm="1">
        <f t="array" aca="1" ref="X133" ca="1">_xlfn.IFS(W132=1,8%,W132=2,10%,W132&gt;2,10%,W132&lt;1,0)</f>
        <v>0.1</v>
      </c>
      <c r="Y133" s="35">
        <f t="shared" ca="1" si="5"/>
        <v>195.75</v>
      </c>
      <c r="Z133" s="40"/>
      <c r="AA133" s="1" t="str">
        <f>LEFT(PMS_Catalog[[#This Row],[WU Id]],3)</f>
        <v>PMS</v>
      </c>
    </row>
    <row r="134" spans="1:27" ht="39" customHeight="1">
      <c r="A134" s="1" t="s">
        <v>641</v>
      </c>
      <c r="B134" s="1" t="s">
        <v>78</v>
      </c>
      <c r="C134" s="1" t="s">
        <v>92</v>
      </c>
      <c r="D134" s="1" t="s">
        <v>170</v>
      </c>
      <c r="E134" s="1" t="s">
        <v>642</v>
      </c>
      <c r="F134" s="12" t="s">
        <v>280</v>
      </c>
      <c r="G134" s="21" t="s">
        <v>643</v>
      </c>
      <c r="H134" s="21" t="s">
        <v>644</v>
      </c>
      <c r="I134" s="1" t="s">
        <v>89</v>
      </c>
      <c r="J134" s="1" t="s">
        <v>89</v>
      </c>
      <c r="K134" s="1" t="s">
        <v>645</v>
      </c>
      <c r="L134" s="1" t="s">
        <v>646</v>
      </c>
      <c r="M134" s="2">
        <v>21.75</v>
      </c>
      <c r="N134" s="30">
        <v>5.0999999999999996</v>
      </c>
      <c r="O134" s="30">
        <f>IF(ISNUMBER(SEARCH("IMS",PMS_Catalog[[#This Row],[WU Id]])),"IMS",PMS_Catalog[[#This Row],[UNIQUE PRICE per hour]]*PMS_Catalog[[#This Row],[PMS Effort (Hours)]])</f>
        <v>110.925</v>
      </c>
      <c r="P134" s="30">
        <v>5</v>
      </c>
      <c r="Q134" s="53" t="s">
        <v>88</v>
      </c>
      <c r="R134" s="1" t="s">
        <v>89</v>
      </c>
      <c r="S134" s="1" t="s">
        <v>647</v>
      </c>
      <c r="T134" s="31">
        <v>44768</v>
      </c>
      <c r="U134" s="1" t="s">
        <v>90</v>
      </c>
      <c r="V134" s="31">
        <v>44652</v>
      </c>
      <c r="W134" s="1">
        <f t="shared" ca="1" si="4"/>
        <v>4</v>
      </c>
      <c r="X134" s="1" cm="1">
        <f t="array" aca="1" ref="X134" ca="1">_xlfn.IFS(W133=1,8%,W133=2,10%,W133&gt;2,10%,W133&lt;1,0)</f>
        <v>0.1</v>
      </c>
      <c r="Y134" s="35">
        <f t="shared" ca="1" si="5"/>
        <v>99.832499999999996</v>
      </c>
      <c r="Z134" s="40"/>
      <c r="AA134" s="1" t="str">
        <f>LEFT(PMS_Catalog[[#This Row],[WU Id]],3)</f>
        <v>PMS</v>
      </c>
    </row>
    <row r="135" spans="1:27" ht="39" customHeight="1">
      <c r="A135" s="1" t="s">
        <v>648</v>
      </c>
      <c r="B135" s="1" t="s">
        <v>78</v>
      </c>
      <c r="C135" s="1" t="s">
        <v>92</v>
      </c>
      <c r="D135" s="1" t="s">
        <v>170</v>
      </c>
      <c r="E135" s="1" t="s">
        <v>649</v>
      </c>
      <c r="F135" s="12" t="s">
        <v>192</v>
      </c>
      <c r="G135" s="21" t="s">
        <v>650</v>
      </c>
      <c r="H135" s="21" t="s">
        <v>651</v>
      </c>
      <c r="I135" s="1" t="s">
        <v>89</v>
      </c>
      <c r="J135" s="1" t="s">
        <v>89</v>
      </c>
      <c r="K135" s="1" t="s">
        <v>89</v>
      </c>
      <c r="L135" s="1" t="s">
        <v>652</v>
      </c>
      <c r="M135" s="2">
        <v>21.75</v>
      </c>
      <c r="N135" s="30">
        <v>4.5</v>
      </c>
      <c r="O135" s="30">
        <f>IF(ISNUMBER(SEARCH("IMS",PMS_Catalog[[#This Row],[WU Id]])),"IMS",PMS_Catalog[[#This Row],[UNIQUE PRICE per hour]]*PMS_Catalog[[#This Row],[PMS Effort (Hours)]])</f>
        <v>97.875</v>
      </c>
      <c r="P135" s="30">
        <v>5</v>
      </c>
      <c r="Q135" s="53" t="s">
        <v>88</v>
      </c>
      <c r="R135" s="1" t="s">
        <v>89</v>
      </c>
      <c r="S135" s="1" t="s">
        <v>653</v>
      </c>
      <c r="T135" s="31">
        <v>44768</v>
      </c>
      <c r="U135" s="1" t="s">
        <v>90</v>
      </c>
      <c r="V135" s="31">
        <v>44652</v>
      </c>
      <c r="W135" s="1">
        <f t="shared" ca="1" si="4"/>
        <v>4</v>
      </c>
      <c r="X135" s="1" cm="1">
        <f t="array" aca="1" ref="X135" ca="1">_xlfn.IFS(W134=1,8%,W134=2,10%,W134&gt;2,10%,W134&lt;1,0)</f>
        <v>0.1</v>
      </c>
      <c r="Y135" s="35">
        <f t="shared" ca="1" si="5"/>
        <v>88.087500000000006</v>
      </c>
      <c r="Z135" s="40"/>
      <c r="AA135" s="1" t="str">
        <f>LEFT(PMS_Catalog[[#This Row],[WU Id]],3)</f>
        <v>PMS</v>
      </c>
    </row>
    <row r="136" spans="1:27" ht="39" customHeight="1">
      <c r="A136" s="1" t="s">
        <v>654</v>
      </c>
      <c r="B136" s="1" t="s">
        <v>78</v>
      </c>
      <c r="C136" s="1" t="s">
        <v>92</v>
      </c>
      <c r="D136" s="1" t="s">
        <v>655</v>
      </c>
      <c r="E136" s="1" t="s">
        <v>655</v>
      </c>
      <c r="F136" s="11" t="s">
        <v>280</v>
      </c>
      <c r="G136" s="21" t="s">
        <v>656</v>
      </c>
      <c r="H136" s="21" t="s">
        <v>657</v>
      </c>
      <c r="I136" s="1" t="s">
        <v>128</v>
      </c>
      <c r="J136" s="1" t="s">
        <v>128</v>
      </c>
      <c r="K136" s="1" t="s">
        <v>89</v>
      </c>
      <c r="L136" s="1" t="s">
        <v>277</v>
      </c>
      <c r="M136" s="2">
        <v>21.75</v>
      </c>
      <c r="N136" s="30">
        <v>8</v>
      </c>
      <c r="O136" s="30">
        <f>IF(ISNUMBER(SEARCH("IMS",PMS_Catalog[[#This Row],[WU Id]])),"IMS",PMS_Catalog[[#This Row],[UNIQUE PRICE per hour]]*PMS_Catalog[[#This Row],[PMS Effort (Hours)]])</f>
        <v>174</v>
      </c>
      <c r="P136" s="30">
        <v>14</v>
      </c>
      <c r="Q136" s="53" t="s">
        <v>88</v>
      </c>
      <c r="R136" s="1" t="s">
        <v>89</v>
      </c>
      <c r="S136" s="1"/>
      <c r="T136" s="31">
        <v>44768</v>
      </c>
      <c r="U136" s="1" t="s">
        <v>90</v>
      </c>
      <c r="V136" s="31">
        <v>44652</v>
      </c>
      <c r="W136" s="1">
        <f t="shared" ca="1" si="4"/>
        <v>4</v>
      </c>
      <c r="X136" s="1" cm="1">
        <f t="array" aca="1" ref="X136" ca="1">_xlfn.IFS(W135=1,8%,W135=2,10%,W135&gt;2,10%,W135&lt;1,0)</f>
        <v>0.1</v>
      </c>
      <c r="Y136" s="35">
        <f t="shared" ca="1" si="5"/>
        <v>156.6</v>
      </c>
      <c r="Z136" s="40"/>
      <c r="AA136" s="1" t="str">
        <f>LEFT(PMS_Catalog[[#This Row],[WU Id]],3)</f>
        <v>PMS</v>
      </c>
    </row>
    <row r="137" spans="1:27" ht="39" customHeight="1">
      <c r="A137" s="1" t="s">
        <v>658</v>
      </c>
      <c r="B137" s="1" t="s">
        <v>78</v>
      </c>
      <c r="C137" s="1" t="s">
        <v>92</v>
      </c>
      <c r="D137" s="1" t="s">
        <v>269</v>
      </c>
      <c r="E137" s="1" t="s">
        <v>406</v>
      </c>
      <c r="F137" s="12" t="s">
        <v>280</v>
      </c>
      <c r="G137" s="21" t="s">
        <v>659</v>
      </c>
      <c r="H137" s="21" t="s">
        <v>660</v>
      </c>
      <c r="I137" s="1" t="s">
        <v>89</v>
      </c>
      <c r="J137" s="1" t="s">
        <v>89</v>
      </c>
      <c r="K137" s="1" t="s">
        <v>89</v>
      </c>
      <c r="L137" s="1" t="s">
        <v>661</v>
      </c>
      <c r="M137" s="2">
        <v>21.75</v>
      </c>
      <c r="N137" s="30">
        <v>14</v>
      </c>
      <c r="O137" s="30">
        <f>IF(ISNUMBER(SEARCH("IMS",PMS_Catalog[[#This Row],[WU Id]])),"IMS",PMS_Catalog[[#This Row],[UNIQUE PRICE per hour]]*PMS_Catalog[[#This Row],[PMS Effort (Hours)]])</f>
        <v>304.5</v>
      </c>
      <c r="P137" s="30">
        <v>4</v>
      </c>
      <c r="Q137" s="53" t="s">
        <v>88</v>
      </c>
      <c r="R137" s="1" t="s">
        <v>89</v>
      </c>
      <c r="S137" s="1"/>
      <c r="T137" s="31">
        <v>44768</v>
      </c>
      <c r="U137" s="1" t="s">
        <v>90</v>
      </c>
      <c r="V137" s="31">
        <v>44652</v>
      </c>
      <c r="W137" s="1">
        <f t="shared" ca="1" si="4"/>
        <v>4</v>
      </c>
      <c r="X137" s="1" cm="1">
        <f t="array" aca="1" ref="X137" ca="1">_xlfn.IFS(W136=1,8%,W136=2,10%,W136&gt;2,10%,W136&lt;1,0)</f>
        <v>0.1</v>
      </c>
      <c r="Y137" s="35">
        <f t="shared" ca="1" si="5"/>
        <v>274.05</v>
      </c>
      <c r="Z137" s="40"/>
      <c r="AA137" s="1" t="str">
        <f>LEFT(PMS_Catalog[[#This Row],[WU Id]],3)</f>
        <v>PMS</v>
      </c>
    </row>
    <row r="138" spans="1:27" ht="39" customHeight="1">
      <c r="A138" s="1" t="s">
        <v>662</v>
      </c>
      <c r="B138" s="1" t="s">
        <v>78</v>
      </c>
      <c r="C138" s="1" t="s">
        <v>92</v>
      </c>
      <c r="D138" s="1" t="s">
        <v>269</v>
      </c>
      <c r="E138" s="1" t="s">
        <v>406</v>
      </c>
      <c r="F138" s="12" t="s">
        <v>280</v>
      </c>
      <c r="G138" s="21" t="s">
        <v>663</v>
      </c>
      <c r="H138" s="21" t="s">
        <v>664</v>
      </c>
      <c r="I138" s="1" t="s">
        <v>89</v>
      </c>
      <c r="J138" s="1" t="s">
        <v>89</v>
      </c>
      <c r="K138" s="1" t="s">
        <v>89</v>
      </c>
      <c r="L138" s="1" t="s">
        <v>665</v>
      </c>
      <c r="M138" s="2">
        <v>21.75</v>
      </c>
      <c r="N138" s="30">
        <v>12.75</v>
      </c>
      <c r="O138" s="30">
        <f>IF(ISNUMBER(SEARCH("IMS",PMS_Catalog[[#This Row],[WU Id]])),"IMS",PMS_Catalog[[#This Row],[UNIQUE PRICE per hour]]*PMS_Catalog[[#This Row],[PMS Effort (Hours)]])</f>
        <v>277.3125</v>
      </c>
      <c r="P138" s="30">
        <v>7</v>
      </c>
      <c r="Q138" s="53" t="s">
        <v>88</v>
      </c>
      <c r="R138" s="1" t="s">
        <v>89</v>
      </c>
      <c r="S138" s="1"/>
      <c r="T138" s="31">
        <v>44768</v>
      </c>
      <c r="U138" s="1" t="s">
        <v>90</v>
      </c>
      <c r="V138" s="31">
        <v>44652</v>
      </c>
      <c r="W138" s="1">
        <f t="shared" ca="1" si="4"/>
        <v>4</v>
      </c>
      <c r="X138" s="1" cm="1">
        <f t="array" aca="1" ref="X138" ca="1">_xlfn.IFS(W137=1,8%,W137=2,10%,W137&gt;2,10%,W137&lt;1,0)</f>
        <v>0.1</v>
      </c>
      <c r="Y138" s="35">
        <f t="shared" ca="1" si="5"/>
        <v>249.58125000000001</v>
      </c>
      <c r="Z138" s="40"/>
      <c r="AA138" s="1" t="str">
        <f>LEFT(PMS_Catalog[[#This Row],[WU Id]],3)</f>
        <v>PMS</v>
      </c>
    </row>
    <row r="139" spans="1:27" ht="39" customHeight="1">
      <c r="A139" s="1" t="s">
        <v>666</v>
      </c>
      <c r="B139" s="1" t="s">
        <v>78</v>
      </c>
      <c r="C139" s="1" t="s">
        <v>92</v>
      </c>
      <c r="D139" s="1" t="s">
        <v>269</v>
      </c>
      <c r="E139" s="1" t="s">
        <v>406</v>
      </c>
      <c r="F139" s="12" t="s">
        <v>280</v>
      </c>
      <c r="G139" s="21" t="s">
        <v>667</v>
      </c>
      <c r="H139" s="21" t="s">
        <v>668</v>
      </c>
      <c r="I139" s="1" t="s">
        <v>89</v>
      </c>
      <c r="J139" s="1" t="s">
        <v>89</v>
      </c>
      <c r="K139" s="1" t="s">
        <v>89</v>
      </c>
      <c r="L139" s="1" t="s">
        <v>413</v>
      </c>
      <c r="M139" s="2">
        <v>21.75</v>
      </c>
      <c r="N139" s="30">
        <v>8.5</v>
      </c>
      <c r="O139" s="30">
        <f>IF(ISNUMBER(SEARCH("IMS",PMS_Catalog[[#This Row],[WU Id]])),"IMS",PMS_Catalog[[#This Row],[UNIQUE PRICE per hour]]*PMS_Catalog[[#This Row],[PMS Effort (Hours)]])</f>
        <v>184.875</v>
      </c>
      <c r="P139" s="30">
        <v>5</v>
      </c>
      <c r="Q139" s="53" t="s">
        <v>88</v>
      </c>
      <c r="R139" s="1" t="s">
        <v>89</v>
      </c>
      <c r="S139" s="1"/>
      <c r="T139" s="31">
        <v>44768</v>
      </c>
      <c r="U139" s="1" t="s">
        <v>90</v>
      </c>
      <c r="V139" s="31">
        <v>44652</v>
      </c>
      <c r="W139" s="1">
        <f t="shared" ca="1" si="4"/>
        <v>4</v>
      </c>
      <c r="X139" s="1" cm="1">
        <f t="array" aca="1" ref="X139" ca="1">_xlfn.IFS(W138=1,8%,W138=2,10%,W138&gt;2,10%,W138&lt;1,0)</f>
        <v>0.1</v>
      </c>
      <c r="Y139" s="35">
        <f t="shared" ca="1" si="5"/>
        <v>166.38749999999999</v>
      </c>
      <c r="Z139" s="40"/>
      <c r="AA139" s="1" t="str">
        <f>LEFT(PMS_Catalog[[#This Row],[WU Id]],3)</f>
        <v>PMS</v>
      </c>
    </row>
    <row r="140" spans="1:27" ht="39" customHeight="1">
      <c r="A140" s="1" t="s">
        <v>669</v>
      </c>
      <c r="B140" s="1" t="s">
        <v>78</v>
      </c>
      <c r="C140" s="1" t="s">
        <v>92</v>
      </c>
      <c r="D140" s="1" t="s">
        <v>269</v>
      </c>
      <c r="E140" s="1" t="s">
        <v>406</v>
      </c>
      <c r="F140" s="12" t="s">
        <v>280</v>
      </c>
      <c r="G140" s="21" t="s">
        <v>670</v>
      </c>
      <c r="H140" s="21" t="s">
        <v>671</v>
      </c>
      <c r="I140" s="1" t="s">
        <v>672</v>
      </c>
      <c r="J140" s="1" t="s">
        <v>673</v>
      </c>
      <c r="K140" s="1" t="s">
        <v>674</v>
      </c>
      <c r="L140" s="1" t="s">
        <v>652</v>
      </c>
      <c r="M140" s="2">
        <v>21.75</v>
      </c>
      <c r="N140" s="30">
        <v>5.0999999999999996</v>
      </c>
      <c r="O140" s="30">
        <f>IF(ISNUMBER(SEARCH("IMS",PMS_Catalog[[#This Row],[WU Id]])),"IMS",PMS_Catalog[[#This Row],[UNIQUE PRICE per hour]]*PMS_Catalog[[#This Row],[PMS Effort (Hours)]])</f>
        <v>110.925</v>
      </c>
      <c r="P140" s="30">
        <v>5</v>
      </c>
      <c r="Q140" s="53" t="s">
        <v>88</v>
      </c>
      <c r="R140" s="1" t="s">
        <v>89</v>
      </c>
      <c r="S140" s="1"/>
      <c r="T140" s="31">
        <v>44768</v>
      </c>
      <c r="U140" s="1" t="s">
        <v>90</v>
      </c>
      <c r="V140" s="31">
        <v>44652</v>
      </c>
      <c r="W140" s="1">
        <f t="shared" ca="1" si="4"/>
        <v>4</v>
      </c>
      <c r="X140" s="1" cm="1">
        <f t="array" aca="1" ref="X140" ca="1">_xlfn.IFS(W139=1,8%,W139=2,10%,W139&gt;2,10%,W139&lt;1,0)</f>
        <v>0.1</v>
      </c>
      <c r="Y140" s="35">
        <f t="shared" ca="1" si="5"/>
        <v>99.832499999999996</v>
      </c>
      <c r="Z140" s="40"/>
      <c r="AA140" s="1" t="str">
        <f>LEFT(PMS_Catalog[[#This Row],[WU Id]],3)</f>
        <v>PMS</v>
      </c>
    </row>
    <row r="141" spans="1:27" ht="39" customHeight="1">
      <c r="A141" s="1" t="s">
        <v>675</v>
      </c>
      <c r="B141" s="1" t="s">
        <v>78</v>
      </c>
      <c r="C141" s="1" t="s">
        <v>92</v>
      </c>
      <c r="D141" s="1" t="s">
        <v>93</v>
      </c>
      <c r="E141" s="1" t="s">
        <v>94</v>
      </c>
      <c r="F141" s="14" t="s">
        <v>81</v>
      </c>
      <c r="G141" s="21" t="s">
        <v>676</v>
      </c>
      <c r="H141" s="21" t="s">
        <v>677</v>
      </c>
      <c r="I141" s="1" t="s">
        <v>89</v>
      </c>
      <c r="J141" s="1" t="s">
        <v>89</v>
      </c>
      <c r="K141" s="1" t="s">
        <v>89</v>
      </c>
      <c r="L141" s="1" t="s">
        <v>89</v>
      </c>
      <c r="M141" s="2">
        <v>21.75</v>
      </c>
      <c r="N141" s="34">
        <v>2</v>
      </c>
      <c r="O141" s="34" t="str">
        <f>IF(ISNUMBER(SEARCH("IMS",PMS_Catalog[[#This Row],[WU Id]])),"IMS",PMS_Catalog[[#This Row],[UNIQUE PRICE per hour]]*PMS_Catalog[[#This Row],[PMS Effort (Hours)]])</f>
        <v>IMS</v>
      </c>
      <c r="P141" s="34">
        <v>7</v>
      </c>
      <c r="Q141" s="53" t="s">
        <v>88</v>
      </c>
      <c r="R141" s="1" t="s">
        <v>89</v>
      </c>
      <c r="S141" s="1"/>
      <c r="T141" s="31">
        <v>44768</v>
      </c>
      <c r="U141" s="1" t="s">
        <v>90</v>
      </c>
      <c r="V141" s="31">
        <v>44652</v>
      </c>
      <c r="W141" s="1">
        <f t="shared" ca="1" si="4"/>
        <v>4</v>
      </c>
      <c r="X141" s="1" cm="1">
        <f t="array" aca="1" ref="X141" ca="1">_xlfn.IFS(W140=1,8%,W140=2,10%,W140&gt;2,10%,W140&lt;1,0)</f>
        <v>0.1</v>
      </c>
      <c r="Y141" s="35" t="str">
        <f t="shared" si="5"/>
        <v>IMS</v>
      </c>
      <c r="Z141" s="40"/>
      <c r="AA141" s="1" t="str">
        <f>LEFT(PMS_Catalog[[#This Row],[WU Id]],3)</f>
        <v>IMS</v>
      </c>
    </row>
    <row r="142" spans="1:27" ht="39" customHeight="1">
      <c r="A142" s="1" t="s">
        <v>678</v>
      </c>
      <c r="B142" s="1" t="s">
        <v>78</v>
      </c>
      <c r="C142" s="1" t="s">
        <v>92</v>
      </c>
      <c r="D142" s="1" t="s">
        <v>93</v>
      </c>
      <c r="E142" s="1" t="s">
        <v>94</v>
      </c>
      <c r="F142" s="14" t="s">
        <v>81</v>
      </c>
      <c r="G142" s="21" t="s">
        <v>679</v>
      </c>
      <c r="H142" s="21" t="s">
        <v>677</v>
      </c>
      <c r="I142" s="1" t="s">
        <v>104</v>
      </c>
      <c r="J142" s="1" t="s">
        <v>105</v>
      </c>
      <c r="K142" s="1" t="s">
        <v>680</v>
      </c>
      <c r="L142" s="1" t="s">
        <v>89</v>
      </c>
      <c r="M142" s="2">
        <v>21.75</v>
      </c>
      <c r="N142" s="34" t="s">
        <v>7</v>
      </c>
      <c r="O142" s="34" t="str">
        <f>IF(ISNUMBER(SEARCH("IMS",PMS_Catalog[[#This Row],[WU Id]])),"IMS",PMS_Catalog[[#This Row],[UNIQUE PRICE per hour]]*PMS_Catalog[[#This Row],[PMS Effort (Hours)]])</f>
        <v>IMS</v>
      </c>
      <c r="P142" s="34">
        <v>5</v>
      </c>
      <c r="Q142" s="53" t="s">
        <v>88</v>
      </c>
      <c r="R142" s="1">
        <v>0.6</v>
      </c>
      <c r="S142" s="1"/>
      <c r="T142" s="31">
        <v>44768</v>
      </c>
      <c r="U142" s="1" t="s">
        <v>90</v>
      </c>
      <c r="V142" s="31">
        <v>44652</v>
      </c>
      <c r="W142" s="1">
        <f t="shared" ca="1" si="4"/>
        <v>4</v>
      </c>
      <c r="X142" s="1" cm="1">
        <f t="array" aca="1" ref="X142" ca="1">_xlfn.IFS(W141=1,8%,W141=2,10%,W141&gt;2,10%,W141&lt;1,0)</f>
        <v>0.1</v>
      </c>
      <c r="Y142" s="35" t="str">
        <f t="shared" si="5"/>
        <v>IMS</v>
      </c>
      <c r="Z142" s="40"/>
      <c r="AA142" s="1" t="str">
        <f>LEFT(PMS_Catalog[[#This Row],[WU Id]],3)</f>
        <v>IMS</v>
      </c>
    </row>
    <row r="143" spans="1:27" ht="39" customHeight="1">
      <c r="A143" s="1" t="s">
        <v>681</v>
      </c>
      <c r="B143" s="1" t="s">
        <v>78</v>
      </c>
      <c r="C143" s="1" t="s">
        <v>92</v>
      </c>
      <c r="D143" s="1" t="s">
        <v>269</v>
      </c>
      <c r="E143" s="1" t="s">
        <v>682</v>
      </c>
      <c r="F143" s="11" t="s">
        <v>192</v>
      </c>
      <c r="G143" s="21" t="s">
        <v>683</v>
      </c>
      <c r="H143" s="21" t="s">
        <v>684</v>
      </c>
      <c r="I143" s="1" t="s">
        <v>89</v>
      </c>
      <c r="J143" s="1" t="s">
        <v>89</v>
      </c>
      <c r="K143" s="1" t="s">
        <v>89</v>
      </c>
      <c r="L143" s="1" t="s">
        <v>652</v>
      </c>
      <c r="M143" s="2">
        <v>21.75</v>
      </c>
      <c r="N143" s="30">
        <v>4.25</v>
      </c>
      <c r="O143" s="30">
        <f>IF(ISNUMBER(SEARCH("IMS",PMS_Catalog[[#This Row],[WU Id]])),"IMS",PMS_Catalog[[#This Row],[UNIQUE PRICE per hour]]*PMS_Catalog[[#This Row],[PMS Effort (Hours)]])</f>
        <v>92.4375</v>
      </c>
      <c r="P143" s="30">
        <v>7</v>
      </c>
      <c r="Q143" s="53" t="s">
        <v>88</v>
      </c>
      <c r="R143" s="1" t="s">
        <v>89</v>
      </c>
      <c r="S143" s="1"/>
      <c r="T143" s="31">
        <v>44768</v>
      </c>
      <c r="U143" s="1" t="s">
        <v>90</v>
      </c>
      <c r="V143" s="31">
        <v>44652</v>
      </c>
      <c r="W143" s="1">
        <f t="shared" ca="1" si="4"/>
        <v>4</v>
      </c>
      <c r="X143" s="1" cm="1">
        <f t="array" aca="1" ref="X143" ca="1">_xlfn.IFS(W142=1,8%,W142=2,10%,W142&gt;2,10%,W142&lt;1,0)</f>
        <v>0.1</v>
      </c>
      <c r="Y143" s="35">
        <f t="shared" ca="1" si="5"/>
        <v>83.193749999999994</v>
      </c>
      <c r="Z143" s="40"/>
      <c r="AA143" s="1" t="str">
        <f>LEFT(PMS_Catalog[[#This Row],[WU Id]],3)</f>
        <v>PMS</v>
      </c>
    </row>
    <row r="144" spans="1:27" ht="39" customHeight="1">
      <c r="A144" s="1" t="s">
        <v>685</v>
      </c>
      <c r="B144" s="1" t="s">
        <v>78</v>
      </c>
      <c r="C144" s="1" t="s">
        <v>92</v>
      </c>
      <c r="D144" s="1" t="s">
        <v>269</v>
      </c>
      <c r="E144" s="1" t="s">
        <v>682</v>
      </c>
      <c r="F144" s="11" t="s">
        <v>192</v>
      </c>
      <c r="G144" s="21" t="s">
        <v>686</v>
      </c>
      <c r="H144" s="21" t="s">
        <v>687</v>
      </c>
      <c r="I144" s="1" t="s">
        <v>89</v>
      </c>
      <c r="J144" s="1" t="s">
        <v>89</v>
      </c>
      <c r="K144" s="1" t="s">
        <v>89</v>
      </c>
      <c r="L144" s="1" t="s">
        <v>688</v>
      </c>
      <c r="M144" s="2">
        <v>21.75</v>
      </c>
      <c r="N144" s="30">
        <v>2.25</v>
      </c>
      <c r="O144" s="30">
        <f>IF(ISNUMBER(SEARCH("IMS",PMS_Catalog[[#This Row],[WU Id]])),"IMS",PMS_Catalog[[#This Row],[UNIQUE PRICE per hour]]*PMS_Catalog[[#This Row],[PMS Effort (Hours)]])</f>
        <v>48.9375</v>
      </c>
      <c r="P144" s="30">
        <v>5</v>
      </c>
      <c r="Q144" s="53" t="s">
        <v>88</v>
      </c>
      <c r="R144" s="1" t="s">
        <v>89</v>
      </c>
      <c r="S144" s="1"/>
      <c r="T144" s="31">
        <v>44768</v>
      </c>
      <c r="U144" s="1" t="s">
        <v>90</v>
      </c>
      <c r="V144" s="31">
        <v>44652</v>
      </c>
      <c r="W144" s="1">
        <f t="shared" ca="1" si="4"/>
        <v>4</v>
      </c>
      <c r="X144" s="1" cm="1">
        <f t="array" aca="1" ref="X144" ca="1">_xlfn.IFS(W143=1,8%,W143=2,10%,W143&gt;2,10%,W143&lt;1,0)</f>
        <v>0.1</v>
      </c>
      <c r="Y144" s="35">
        <f t="shared" ca="1" si="5"/>
        <v>44.043750000000003</v>
      </c>
      <c r="Z144" s="40"/>
      <c r="AA144" s="1" t="str">
        <f>LEFT(PMS_Catalog[[#This Row],[WU Id]],3)</f>
        <v>PMS</v>
      </c>
    </row>
    <row r="145" spans="1:27" ht="39" customHeight="1">
      <c r="A145" s="1" t="s">
        <v>689</v>
      </c>
      <c r="B145" s="1" t="s">
        <v>78</v>
      </c>
      <c r="C145" s="1" t="s">
        <v>92</v>
      </c>
      <c r="D145" s="1" t="s">
        <v>690</v>
      </c>
      <c r="E145" s="1" t="s">
        <v>691</v>
      </c>
      <c r="F145" s="12" t="s">
        <v>192</v>
      </c>
      <c r="G145" s="21" t="s">
        <v>692</v>
      </c>
      <c r="H145" s="21" t="s">
        <v>693</v>
      </c>
      <c r="I145" s="1" t="s">
        <v>89</v>
      </c>
      <c r="J145" s="1" t="s">
        <v>89</v>
      </c>
      <c r="K145" s="1" t="s">
        <v>89</v>
      </c>
      <c r="L145" s="1" t="s">
        <v>694</v>
      </c>
      <c r="M145" s="2">
        <v>21.75</v>
      </c>
      <c r="N145" s="30">
        <v>2.5</v>
      </c>
      <c r="O145" s="30">
        <f>IF(ISNUMBER(SEARCH("IMS",PMS_Catalog[[#This Row],[WU Id]])),"IMS",PMS_Catalog[[#This Row],[UNIQUE PRICE per hour]]*PMS_Catalog[[#This Row],[PMS Effort (Hours)]])</f>
        <v>54.375</v>
      </c>
      <c r="P145" s="30">
        <v>7</v>
      </c>
      <c r="Q145" s="53" t="s">
        <v>88</v>
      </c>
      <c r="R145" s="1" t="s">
        <v>89</v>
      </c>
      <c r="S145" s="1"/>
      <c r="T145" s="31">
        <v>44768</v>
      </c>
      <c r="U145" s="1" t="s">
        <v>90</v>
      </c>
      <c r="V145" s="31">
        <v>44652</v>
      </c>
      <c r="W145" s="1">
        <f t="shared" ca="1" si="4"/>
        <v>4</v>
      </c>
      <c r="X145" s="1" cm="1">
        <f t="array" aca="1" ref="X145" ca="1">_xlfn.IFS(W144=1,8%,W144=2,10%,W144&gt;2,10%,W144&lt;1,0)</f>
        <v>0.1</v>
      </c>
      <c r="Y145" s="35">
        <f t="shared" ca="1" si="5"/>
        <v>48.9375</v>
      </c>
      <c r="Z145" s="40"/>
      <c r="AA145" s="1" t="str">
        <f>LEFT(PMS_Catalog[[#This Row],[WU Id]],3)</f>
        <v>PMS</v>
      </c>
    </row>
    <row r="146" spans="1:27" ht="39" customHeight="1">
      <c r="A146" s="1" t="s">
        <v>695</v>
      </c>
      <c r="B146" s="1" t="s">
        <v>78</v>
      </c>
      <c r="C146" s="1" t="s">
        <v>92</v>
      </c>
      <c r="D146" s="1" t="s">
        <v>93</v>
      </c>
      <c r="E146" s="1" t="s">
        <v>94</v>
      </c>
      <c r="F146" s="12" t="s">
        <v>192</v>
      </c>
      <c r="G146" s="21" t="s">
        <v>696</v>
      </c>
      <c r="H146" s="21" t="s">
        <v>697</v>
      </c>
      <c r="I146" s="1" t="s">
        <v>104</v>
      </c>
      <c r="J146" s="1" t="s">
        <v>105</v>
      </c>
      <c r="K146" s="1" t="s">
        <v>89</v>
      </c>
      <c r="L146" s="1" t="s">
        <v>518</v>
      </c>
      <c r="M146" s="2">
        <v>21.75</v>
      </c>
      <c r="N146" s="30">
        <v>3.5</v>
      </c>
      <c r="O146" s="30">
        <f>IF(ISNUMBER(SEARCH("IMS",PMS_Catalog[[#This Row],[WU Id]])),"IMS",PMS_Catalog[[#This Row],[UNIQUE PRICE per hour]]*PMS_Catalog[[#This Row],[PMS Effort (Hours)]])</f>
        <v>76.125</v>
      </c>
      <c r="P146" s="30">
        <v>5</v>
      </c>
      <c r="Q146" s="53" t="s">
        <v>88</v>
      </c>
      <c r="R146" s="1" t="s">
        <v>89</v>
      </c>
      <c r="S146" s="1"/>
      <c r="T146" s="31">
        <v>44768</v>
      </c>
      <c r="U146" s="1" t="s">
        <v>90</v>
      </c>
      <c r="V146" s="31">
        <v>44652</v>
      </c>
      <c r="W146" s="1">
        <f t="shared" ca="1" si="4"/>
        <v>4</v>
      </c>
      <c r="X146" s="1" cm="1">
        <f t="array" aca="1" ref="X146" ca="1">_xlfn.IFS(W145=1,8%,W145=2,10%,W145&gt;2,10%,W145&lt;1,0)</f>
        <v>0.1</v>
      </c>
      <c r="Y146" s="35">
        <f t="shared" ca="1" si="5"/>
        <v>68.512500000000003</v>
      </c>
      <c r="Z146" s="40"/>
      <c r="AA146" s="1" t="str">
        <f>LEFT(PMS_Catalog[[#This Row],[WU Id]],3)</f>
        <v>PMS</v>
      </c>
    </row>
    <row r="147" spans="1:27" ht="39" customHeight="1">
      <c r="A147" s="1" t="s">
        <v>698</v>
      </c>
      <c r="B147" s="1" t="s">
        <v>78</v>
      </c>
      <c r="C147" s="1" t="s">
        <v>92</v>
      </c>
      <c r="D147" s="1" t="s">
        <v>93</v>
      </c>
      <c r="E147" s="1" t="s">
        <v>94</v>
      </c>
      <c r="F147" s="12" t="s">
        <v>699</v>
      </c>
      <c r="G147" s="21" t="s">
        <v>700</v>
      </c>
      <c r="H147" s="21" t="s">
        <v>701</v>
      </c>
      <c r="I147" s="1" t="s">
        <v>89</v>
      </c>
      <c r="J147" s="1" t="s">
        <v>89</v>
      </c>
      <c r="K147" s="1" t="s">
        <v>89</v>
      </c>
      <c r="L147" s="1" t="s">
        <v>702</v>
      </c>
      <c r="M147" s="2">
        <v>21.75</v>
      </c>
      <c r="N147" s="30">
        <v>3.5</v>
      </c>
      <c r="O147" s="30">
        <f>IF(ISNUMBER(SEARCH("IMS",PMS_Catalog[[#This Row],[WU Id]])),"IMS",IF(PMS_Catalog[[#This Row],[WRITE HERE THE NUMBER that you need for : JOBS for PMS_WU_7003 and 7002 OR  for WU PMS_WU_2017 and 2020 and 2241 and 2242]]=0,0,PMS_Catalog[[#This Row],[UNIQUE PRICE per hour]]*PMS_Catalog[[#This Row],[PMS Effort (Hours)]]+((PMS_Catalog[[#This Row],[WRITE HERE THE NUMBER that you need for : JOBS for PMS_WU_7003 and 7002 OR  for WU PMS_WU_2017 and 2020 and 2241 and 2242]]-1)*PMS_Catalog[[#This Row],[UNIQUE PRICE per hour]]*PMS_Catalog[[#This Row],[PMS Effort (Hours)]]*PMS_Catalog[[#This Row],[PMS WU //° rate (%)]])))</f>
        <v>0</v>
      </c>
      <c r="P147" s="30">
        <v>10</v>
      </c>
      <c r="Q147" s="53" t="s">
        <v>88</v>
      </c>
      <c r="R147" s="1">
        <v>0.8</v>
      </c>
      <c r="S147" s="1"/>
      <c r="T147" s="31">
        <v>45728</v>
      </c>
      <c r="U147" s="1" t="s">
        <v>703</v>
      </c>
      <c r="V147" s="31">
        <v>44652</v>
      </c>
      <c r="W147" s="1">
        <f t="shared" ca="1" si="4"/>
        <v>4</v>
      </c>
      <c r="X147" s="1" cm="1">
        <f t="array" aca="1" ref="X147" ca="1">_xlfn.IFS(W146=1,8%,W146=2,10%,W146&gt;2,10%,W146&lt;1,0)</f>
        <v>0.1</v>
      </c>
      <c r="Y147" s="35">
        <f t="shared" ca="1" si="5"/>
        <v>0</v>
      </c>
      <c r="Z147" s="1">
        <v>0</v>
      </c>
      <c r="AA147" s="1" t="str">
        <f>LEFT(PMS_Catalog[[#This Row],[WU Id]],3)</f>
        <v>PMS</v>
      </c>
    </row>
    <row r="148" spans="1:27" ht="39" customHeight="1">
      <c r="A148" s="1" t="s">
        <v>704</v>
      </c>
      <c r="B148" s="1" t="s">
        <v>78</v>
      </c>
      <c r="C148" s="1" t="s">
        <v>92</v>
      </c>
      <c r="D148" s="1" t="s">
        <v>108</v>
      </c>
      <c r="E148" s="1" t="s">
        <v>109</v>
      </c>
      <c r="F148" s="12" t="s">
        <v>192</v>
      </c>
      <c r="G148" s="21" t="s">
        <v>696</v>
      </c>
      <c r="H148" s="21" t="s">
        <v>705</v>
      </c>
      <c r="I148" s="1" t="s">
        <v>112</v>
      </c>
      <c r="J148" s="1" t="s">
        <v>113</v>
      </c>
      <c r="K148" s="1" t="s">
        <v>89</v>
      </c>
      <c r="L148" s="1" t="s">
        <v>518</v>
      </c>
      <c r="M148" s="2">
        <v>21.75</v>
      </c>
      <c r="N148" s="30">
        <v>3.5</v>
      </c>
      <c r="O148" s="30">
        <f>IF(ISNUMBER(SEARCH("IMS",PMS_Catalog[[#This Row],[WU Id]])),"IMS",PMS_Catalog[[#This Row],[UNIQUE PRICE per hour]]*PMS_Catalog[[#This Row],[PMS Effort (Hours)]])</f>
        <v>76.125</v>
      </c>
      <c r="P148" s="30">
        <v>5</v>
      </c>
      <c r="Q148" s="53" t="s">
        <v>88</v>
      </c>
      <c r="R148" s="1" t="s">
        <v>89</v>
      </c>
      <c r="S148" s="1"/>
      <c r="T148" s="31">
        <v>44768</v>
      </c>
      <c r="U148" s="1" t="s">
        <v>90</v>
      </c>
      <c r="V148" s="31">
        <v>44652</v>
      </c>
      <c r="W148" s="1">
        <f t="shared" ca="1" si="4"/>
        <v>4</v>
      </c>
      <c r="X148" s="1" cm="1">
        <f t="array" aca="1" ref="X148" ca="1">_xlfn.IFS(W147=1,8%,W147=2,10%,W147&gt;2,10%,W147&lt;1,0)</f>
        <v>0.1</v>
      </c>
      <c r="Y148" s="35">
        <f t="shared" ca="1" si="5"/>
        <v>68.512500000000003</v>
      </c>
      <c r="Z148" s="40"/>
      <c r="AA148" s="1" t="str">
        <f>LEFT(PMS_Catalog[[#This Row],[WU Id]],3)</f>
        <v>PMS</v>
      </c>
    </row>
    <row r="149" spans="1:27" ht="36">
      <c r="A149" s="1" t="s">
        <v>706</v>
      </c>
      <c r="B149" s="1" t="s">
        <v>78</v>
      </c>
      <c r="C149" s="1" t="s">
        <v>92</v>
      </c>
      <c r="D149" s="1" t="s">
        <v>108</v>
      </c>
      <c r="E149" s="1" t="s">
        <v>109</v>
      </c>
      <c r="F149" s="12" t="s">
        <v>699</v>
      </c>
      <c r="G149" s="21" t="s">
        <v>707</v>
      </c>
      <c r="H149" s="21" t="s">
        <v>708</v>
      </c>
      <c r="I149" s="1" t="s">
        <v>89</v>
      </c>
      <c r="J149" s="1" t="s">
        <v>89</v>
      </c>
      <c r="K149" s="1" t="s">
        <v>89</v>
      </c>
      <c r="L149" s="1" t="s">
        <v>702</v>
      </c>
      <c r="M149" s="2">
        <v>21.75</v>
      </c>
      <c r="N149" s="30">
        <v>1.5</v>
      </c>
      <c r="O149" s="30">
        <f>IF(ISNUMBER(SEARCH("IMS",PMS_Catalog[[#This Row],[WU Id]])),"IMS",PMS_Catalog[[#This Row],[UNIQUE PRICE per hour]]*PMS_Catalog[[#This Row],[PMS Effort (Hours)]])</f>
        <v>32.625</v>
      </c>
      <c r="P149" s="30">
        <v>2</v>
      </c>
      <c r="Q149" s="53" t="s">
        <v>88</v>
      </c>
      <c r="R149" s="1" t="s">
        <v>89</v>
      </c>
      <c r="S149" s="1"/>
      <c r="T149" s="31">
        <v>45728</v>
      </c>
      <c r="U149" s="1" t="s">
        <v>703</v>
      </c>
      <c r="V149" s="31">
        <v>44652</v>
      </c>
      <c r="W149" s="1">
        <f t="shared" ca="1" si="4"/>
        <v>4</v>
      </c>
      <c r="X149" s="1" cm="1">
        <f t="array" aca="1" ref="X149" ca="1">_xlfn.IFS(W148=1,8%,W148=2,10%,W148&gt;2,10%,W148&lt;1,0)</f>
        <v>0.1</v>
      </c>
      <c r="Y149" s="35">
        <f t="shared" ca="1" si="5"/>
        <v>29.362500000000001</v>
      </c>
      <c r="Z149" s="40"/>
      <c r="AA149" s="1" t="str">
        <f>LEFT(PMS_Catalog[[#This Row],[WU Id]],3)</f>
        <v>PMS</v>
      </c>
    </row>
    <row r="150" spans="1:27" ht="39" customHeight="1">
      <c r="A150" s="1" t="s">
        <v>709</v>
      </c>
      <c r="B150" s="1" t="s">
        <v>710</v>
      </c>
      <c r="C150" s="1" t="s">
        <v>92</v>
      </c>
      <c r="D150" s="1" t="s">
        <v>450</v>
      </c>
      <c r="E150" s="1" t="s">
        <v>711</v>
      </c>
      <c r="F150" s="12" t="s">
        <v>192</v>
      </c>
      <c r="G150" s="21" t="s">
        <v>712</v>
      </c>
      <c r="H150" s="21" t="s">
        <v>713</v>
      </c>
      <c r="I150" s="1" t="s">
        <v>89</v>
      </c>
      <c r="J150" s="1" t="s">
        <v>89</v>
      </c>
      <c r="K150" s="1" t="s">
        <v>89</v>
      </c>
      <c r="L150" s="1" t="s">
        <v>714</v>
      </c>
      <c r="M150" s="2">
        <v>21.75</v>
      </c>
      <c r="N150" s="30">
        <v>2.5</v>
      </c>
      <c r="O150" s="30">
        <f>IF(ISNUMBER(SEARCH("IMS",PMS_Catalog[[#This Row],[WU Id]])),"IMS",PMS_Catalog[[#This Row],[UNIQUE PRICE per hour]]*PMS_Catalog[[#This Row],[PMS Effort (Hours)]])</f>
        <v>54.375</v>
      </c>
      <c r="P150" s="30" t="s">
        <v>715</v>
      </c>
      <c r="Q150" s="53" t="s">
        <v>88</v>
      </c>
      <c r="R150" s="1" t="s">
        <v>89</v>
      </c>
      <c r="S150" s="1"/>
      <c r="T150" s="31">
        <v>45728</v>
      </c>
      <c r="U150" s="1" t="s">
        <v>703</v>
      </c>
      <c r="V150" s="31">
        <v>44652</v>
      </c>
      <c r="W150" s="1">
        <f t="shared" ca="1" si="4"/>
        <v>4</v>
      </c>
      <c r="X150" s="1" cm="1">
        <f t="array" aca="1" ref="X150" ca="1">_xlfn.IFS(W149=1,8%,W149=2,10%,W149&gt;2,10%,W149&lt;1,0)</f>
        <v>0.1</v>
      </c>
      <c r="Y150" s="35">
        <f t="shared" ca="1" si="5"/>
        <v>48.9375</v>
      </c>
      <c r="Z150" s="40"/>
      <c r="AA150" s="1" t="str">
        <f>LEFT(PMS_Catalog[[#This Row],[WU Id]],3)</f>
        <v>PMS</v>
      </c>
    </row>
    <row r="151" spans="1:27" ht="37.35" customHeight="1">
      <c r="A151" s="1" t="s">
        <v>716</v>
      </c>
      <c r="B151" s="1" t="s">
        <v>710</v>
      </c>
      <c r="C151" s="1" t="s">
        <v>92</v>
      </c>
      <c r="D151" s="1" t="s">
        <v>450</v>
      </c>
      <c r="E151" s="1" t="s">
        <v>717</v>
      </c>
      <c r="F151" s="12" t="s">
        <v>192</v>
      </c>
      <c r="G151" s="21" t="s">
        <v>718</v>
      </c>
      <c r="H151" s="21" t="s">
        <v>719</v>
      </c>
      <c r="I151" s="1" t="s">
        <v>89</v>
      </c>
      <c r="J151" s="1" t="s">
        <v>89</v>
      </c>
      <c r="K151" s="1" t="s">
        <v>89</v>
      </c>
      <c r="L151" s="1" t="s">
        <v>413</v>
      </c>
      <c r="M151" s="2">
        <v>21.75</v>
      </c>
      <c r="N151" s="30">
        <v>0.75</v>
      </c>
      <c r="O151" s="30">
        <f>IF(ISNUMBER(SEARCH("IMS",PMS_Catalog[[#This Row],[WU Id]])),"IMS",PMS_Catalog[[#This Row],[UNIQUE PRICE per hour]]*PMS_Catalog[[#This Row],[PMS Effort (Hours)]])</f>
        <v>16.3125</v>
      </c>
      <c r="P151" s="30">
        <v>2</v>
      </c>
      <c r="Q151" s="53" t="s">
        <v>88</v>
      </c>
      <c r="R151" s="1" t="s">
        <v>89</v>
      </c>
      <c r="S151" s="1"/>
      <c r="T151" s="31">
        <v>45728</v>
      </c>
      <c r="U151" s="1" t="s">
        <v>703</v>
      </c>
      <c r="V151" s="31">
        <v>44652</v>
      </c>
      <c r="W151" s="1">
        <f t="shared" ca="1" si="4"/>
        <v>4</v>
      </c>
      <c r="X151" s="1" cm="1">
        <f t="array" aca="1" ref="X151" ca="1">_xlfn.IFS(W150=1,8%,W150=2,10%,W150&gt;2,10%,W150&lt;1,0)</f>
        <v>0.1</v>
      </c>
      <c r="Y151" s="35">
        <f t="shared" ca="1" si="5"/>
        <v>14.68125</v>
      </c>
      <c r="Z151" s="40"/>
      <c r="AA151" s="1" t="str">
        <f>LEFT(PMS_Catalog[[#This Row],[WU Id]],3)</f>
        <v>PMS</v>
      </c>
    </row>
    <row r="152" spans="1:27" ht="40.35" customHeight="1">
      <c r="A152" s="1" t="s">
        <v>720</v>
      </c>
      <c r="B152" s="1" t="s">
        <v>710</v>
      </c>
      <c r="C152" s="1" t="s">
        <v>92</v>
      </c>
      <c r="D152" s="1" t="s">
        <v>450</v>
      </c>
      <c r="E152" s="1" t="s">
        <v>721</v>
      </c>
      <c r="F152" s="12" t="s">
        <v>192</v>
      </c>
      <c r="G152" s="21" t="s">
        <v>722</v>
      </c>
      <c r="H152" s="21" t="s">
        <v>723</v>
      </c>
      <c r="I152" s="1" t="s">
        <v>89</v>
      </c>
      <c r="J152" s="1" t="s">
        <v>89</v>
      </c>
      <c r="K152" s="1" t="s">
        <v>89</v>
      </c>
      <c r="L152" s="1" t="s">
        <v>413</v>
      </c>
      <c r="M152" s="2">
        <v>21.75</v>
      </c>
      <c r="N152" s="30">
        <v>0.7</v>
      </c>
      <c r="O152" s="30">
        <f>IF(ISNUMBER(SEARCH("IMS",PMS_Catalog[[#This Row],[WU Id]])),"IMS",PMS_Catalog[[#This Row],[UNIQUE PRICE per hour]]*PMS_Catalog[[#This Row],[PMS Effort (Hours)]])</f>
        <v>15.225</v>
      </c>
      <c r="P152" s="30">
        <v>2</v>
      </c>
      <c r="Q152" s="53" t="s">
        <v>88</v>
      </c>
      <c r="R152" s="1" t="s">
        <v>89</v>
      </c>
      <c r="S152" s="1"/>
      <c r="T152" s="31">
        <v>45728</v>
      </c>
      <c r="U152" s="1" t="s">
        <v>703</v>
      </c>
      <c r="V152" s="31">
        <v>44652</v>
      </c>
      <c r="W152" s="1">
        <f t="shared" ca="1" si="4"/>
        <v>4</v>
      </c>
      <c r="X152" s="1" cm="1">
        <f t="array" aca="1" ref="X152" ca="1">_xlfn.IFS(W151=1,8%,W151=2,10%,W151&gt;2,10%,W151&lt;1,0)</f>
        <v>0.1</v>
      </c>
      <c r="Y152" s="35">
        <f t="shared" ca="1" si="5"/>
        <v>13.702500000000001</v>
      </c>
      <c r="Z152" s="40"/>
      <c r="AA152" s="1" t="str">
        <f>LEFT(PMS_Catalog[[#This Row],[WU Id]],3)</f>
        <v>PMS</v>
      </c>
    </row>
    <row r="153" spans="1:27" ht="39" customHeight="1">
      <c r="A153" s="1" t="s">
        <v>724</v>
      </c>
      <c r="B153" s="1" t="s">
        <v>78</v>
      </c>
      <c r="C153" s="1" t="s">
        <v>92</v>
      </c>
      <c r="D153" s="1" t="s">
        <v>93</v>
      </c>
      <c r="E153" s="1" t="s">
        <v>94</v>
      </c>
      <c r="F153" s="14" t="s">
        <v>422</v>
      </c>
      <c r="G153" s="21" t="s">
        <v>725</v>
      </c>
      <c r="H153" s="21" t="s">
        <v>726</v>
      </c>
      <c r="I153" s="1" t="s">
        <v>104</v>
      </c>
      <c r="J153" s="1" t="s">
        <v>105</v>
      </c>
      <c r="K153" s="1" t="s">
        <v>727</v>
      </c>
      <c r="L153" s="1" t="s">
        <v>89</v>
      </c>
      <c r="M153" s="2">
        <v>21.75</v>
      </c>
      <c r="N153" s="34" t="s">
        <v>7</v>
      </c>
      <c r="O153" s="34" t="str">
        <f>IF(ISNUMBER(SEARCH("IMS",PMS_Catalog[[#This Row],[WU Id]])),"IMS",PMS_Catalog[[#This Row],[UNIQUE PRICE per hour]]*PMS_Catalog[[#This Row],[PMS Effort (Hours)]])</f>
        <v>IMS</v>
      </c>
      <c r="P153" s="34">
        <v>10</v>
      </c>
      <c r="Q153" s="53" t="s">
        <v>88</v>
      </c>
      <c r="R153" s="1" t="s">
        <v>89</v>
      </c>
      <c r="S153" s="1"/>
      <c r="T153" s="31">
        <v>44768</v>
      </c>
      <c r="U153" s="1" t="s">
        <v>90</v>
      </c>
      <c r="V153" s="31">
        <v>44652</v>
      </c>
      <c r="W153" s="1">
        <f t="shared" ca="1" si="4"/>
        <v>4</v>
      </c>
      <c r="X153" s="1" cm="1">
        <f t="array" aca="1" ref="X153" ca="1">_xlfn.IFS(W152=1,8%,W152=2,10%,W152&gt;2,10%,W152&lt;1,0)</f>
        <v>0.1</v>
      </c>
      <c r="Y153" s="35" t="str">
        <f t="shared" si="5"/>
        <v>IMS</v>
      </c>
      <c r="Z153" s="40"/>
      <c r="AA153" s="1" t="str">
        <f>LEFT(PMS_Catalog[[#This Row],[WU Id]],3)</f>
        <v>IMS</v>
      </c>
    </row>
    <row r="154" spans="1:27" ht="33" customHeight="1">
      <c r="A154" s="1" t="s">
        <v>728</v>
      </c>
      <c r="B154" s="1" t="s">
        <v>710</v>
      </c>
      <c r="C154" s="1" t="s">
        <v>92</v>
      </c>
      <c r="D154" s="1" t="s">
        <v>524</v>
      </c>
      <c r="E154" s="1" t="s">
        <v>525</v>
      </c>
      <c r="F154" s="11" t="s">
        <v>408</v>
      </c>
      <c r="G154" s="21" t="s">
        <v>729</v>
      </c>
      <c r="H154" s="21" t="s">
        <v>730</v>
      </c>
      <c r="I154" s="1" t="s">
        <v>89</v>
      </c>
      <c r="J154" s="1" t="s">
        <v>89</v>
      </c>
      <c r="K154" s="1" t="s">
        <v>89</v>
      </c>
      <c r="L154" s="1" t="s">
        <v>533</v>
      </c>
      <c r="M154" s="2">
        <v>21.75</v>
      </c>
      <c r="N154" s="30">
        <v>2.5</v>
      </c>
      <c r="O154" s="30">
        <f>IF(ISNUMBER(SEARCH("IMS",PMS_Catalog[[#This Row],[WU Id]])),"IMS",PMS_Catalog[[#This Row],[UNIQUE PRICE per hour]]*PMS_Catalog[[#This Row],[PMS Effort (Hours)]])</f>
        <v>54.375</v>
      </c>
      <c r="P154" s="30">
        <v>2</v>
      </c>
      <c r="Q154" s="53" t="s">
        <v>88</v>
      </c>
      <c r="R154" s="1" t="s">
        <v>89</v>
      </c>
      <c r="S154" s="1"/>
      <c r="T154" s="31">
        <v>44768</v>
      </c>
      <c r="U154" s="1" t="s">
        <v>90</v>
      </c>
      <c r="V154" s="31">
        <v>44652</v>
      </c>
      <c r="W154" s="1">
        <f t="shared" ca="1" si="4"/>
        <v>4</v>
      </c>
      <c r="X154" s="1" cm="1">
        <f t="array" aca="1" ref="X154" ca="1">_xlfn.IFS(W153=1,8%,W153=2,10%,W153&gt;2,10%,W153&lt;1,0)</f>
        <v>0.1</v>
      </c>
      <c r="Y154" s="35">
        <f t="shared" ca="1" si="5"/>
        <v>48.9375</v>
      </c>
      <c r="Z154" s="40"/>
      <c r="AA154" s="1" t="str">
        <f>LEFT(PMS_Catalog[[#This Row],[WU Id]],3)</f>
        <v>PMS</v>
      </c>
    </row>
    <row r="155" spans="1:27" ht="39" customHeight="1">
      <c r="A155" s="1" t="s">
        <v>731</v>
      </c>
      <c r="B155" s="1" t="s">
        <v>78</v>
      </c>
      <c r="C155" s="1" t="s">
        <v>92</v>
      </c>
      <c r="D155" s="1" t="s">
        <v>93</v>
      </c>
      <c r="E155" s="1" t="s">
        <v>94</v>
      </c>
      <c r="F155" s="14" t="s">
        <v>732</v>
      </c>
      <c r="G155" s="21" t="s">
        <v>700</v>
      </c>
      <c r="H155" s="21" t="s">
        <v>733</v>
      </c>
      <c r="I155" s="1" t="s">
        <v>104</v>
      </c>
      <c r="J155" s="1" t="s">
        <v>105</v>
      </c>
      <c r="K155" s="1" t="s">
        <v>89</v>
      </c>
      <c r="L155" s="1" t="s">
        <v>89</v>
      </c>
      <c r="M155" s="2">
        <v>21.75</v>
      </c>
      <c r="N155" s="34" t="s">
        <v>7</v>
      </c>
      <c r="O155" s="34" t="str">
        <f>IF(ISNUMBER(SEARCH("IMS",PMS_Catalog[[#This Row],[WU Id]])),"IMS",PMS_Catalog[[#This Row],[UNIQUE PRICE per hour]]*PMS_Catalog[[#This Row],[PMS Effort (Hours)]])</f>
        <v>IMS</v>
      </c>
      <c r="P155" s="34">
        <v>10</v>
      </c>
      <c r="Q155" s="53" t="s">
        <v>88</v>
      </c>
      <c r="R155" s="1" t="s">
        <v>89</v>
      </c>
      <c r="S155" s="1"/>
      <c r="T155" s="31">
        <v>44768</v>
      </c>
      <c r="U155" s="1" t="s">
        <v>90</v>
      </c>
      <c r="V155" s="31">
        <v>44652</v>
      </c>
      <c r="W155" s="1">
        <f t="shared" ca="1" si="4"/>
        <v>4</v>
      </c>
      <c r="X155" s="1" cm="1">
        <f t="array" aca="1" ref="X155" ca="1">_xlfn.IFS(W154=1,8%,W154=2,10%,W154&gt;2,10%,W154&lt;1,0)</f>
        <v>0.1</v>
      </c>
      <c r="Y155" s="35" t="str">
        <f t="shared" si="5"/>
        <v>IMS</v>
      </c>
      <c r="Z155" s="40"/>
      <c r="AA155" s="1" t="str">
        <f>LEFT(PMS_Catalog[[#This Row],[WU Id]],3)</f>
        <v>IMS</v>
      </c>
    </row>
    <row r="156" spans="1:27" ht="39" customHeight="1">
      <c r="A156" s="1" t="s">
        <v>734</v>
      </c>
      <c r="B156" s="1" t="s">
        <v>78</v>
      </c>
      <c r="C156" s="1" t="s">
        <v>92</v>
      </c>
      <c r="D156" s="1" t="s">
        <v>108</v>
      </c>
      <c r="E156" s="1" t="s">
        <v>109</v>
      </c>
      <c r="F156" s="13" t="s">
        <v>81</v>
      </c>
      <c r="G156" s="21" t="s">
        <v>735</v>
      </c>
      <c r="H156" s="21" t="s">
        <v>736</v>
      </c>
      <c r="I156" s="1" t="s">
        <v>89</v>
      </c>
      <c r="J156" s="1" t="s">
        <v>89</v>
      </c>
      <c r="K156" s="1" t="s">
        <v>89</v>
      </c>
      <c r="L156" s="1" t="s">
        <v>89</v>
      </c>
      <c r="M156" s="2">
        <v>21.75</v>
      </c>
      <c r="N156" s="34" t="s">
        <v>7</v>
      </c>
      <c r="O156" s="34" t="str">
        <f>IF(ISNUMBER(SEARCH("IMS",PMS_Catalog[[#This Row],[WU Id]])),"IMS",PMS_Catalog[[#This Row],[UNIQUE PRICE per hour]]*PMS_Catalog[[#This Row],[PMS Effort (Hours)]])</f>
        <v>IMS</v>
      </c>
      <c r="P156" s="34">
        <v>7</v>
      </c>
      <c r="Q156" s="53" t="s">
        <v>88</v>
      </c>
      <c r="R156" s="1" t="s">
        <v>89</v>
      </c>
      <c r="S156" s="1"/>
      <c r="T156" s="31">
        <v>44768</v>
      </c>
      <c r="U156" s="1" t="s">
        <v>90</v>
      </c>
      <c r="V156" s="31">
        <v>44652</v>
      </c>
      <c r="W156" s="1">
        <f t="shared" ca="1" si="4"/>
        <v>4</v>
      </c>
      <c r="X156" s="1" cm="1">
        <f t="array" aca="1" ref="X156" ca="1">_xlfn.IFS(W155=1,8%,W155=2,10%,W155&gt;2,10%,W155&lt;1,0)</f>
        <v>0.1</v>
      </c>
      <c r="Y156" s="35" t="str">
        <f t="shared" si="5"/>
        <v>IMS</v>
      </c>
      <c r="Z156" s="40"/>
      <c r="AA156" s="1" t="str">
        <f>LEFT(PMS_Catalog[[#This Row],[WU Id]],3)</f>
        <v>IMS</v>
      </c>
    </row>
    <row r="157" spans="1:27" ht="39" customHeight="1">
      <c r="A157" s="1" t="s">
        <v>737</v>
      </c>
      <c r="B157" s="1" t="s">
        <v>78</v>
      </c>
      <c r="C157" s="1" t="s">
        <v>92</v>
      </c>
      <c r="D157" s="1" t="s">
        <v>108</v>
      </c>
      <c r="E157" s="1" t="s">
        <v>109</v>
      </c>
      <c r="F157" s="13" t="s">
        <v>732</v>
      </c>
      <c r="G157" s="21" t="s">
        <v>738</v>
      </c>
      <c r="H157" s="21" t="s">
        <v>739</v>
      </c>
      <c r="I157" s="1" t="s">
        <v>112</v>
      </c>
      <c r="J157" s="1" t="s">
        <v>113</v>
      </c>
      <c r="K157" s="1" t="s">
        <v>89</v>
      </c>
      <c r="L157" s="1" t="s">
        <v>89</v>
      </c>
      <c r="M157" s="2">
        <v>21.75</v>
      </c>
      <c r="N157" s="34" t="s">
        <v>7</v>
      </c>
      <c r="O157" s="34" t="str">
        <f>IF(ISNUMBER(SEARCH("IMS",PMS_Catalog[[#This Row],[WU Id]])),"IMS",PMS_Catalog[[#This Row],[UNIQUE PRICE per hour]]*PMS_Catalog[[#This Row],[PMS Effort (Hours)]])</f>
        <v>IMS</v>
      </c>
      <c r="P157" s="34">
        <v>10</v>
      </c>
      <c r="Q157" s="53" t="s">
        <v>88</v>
      </c>
      <c r="R157" s="1" t="s">
        <v>89</v>
      </c>
      <c r="S157" s="1"/>
      <c r="T157" s="31">
        <v>44768</v>
      </c>
      <c r="U157" s="1" t="s">
        <v>90</v>
      </c>
      <c r="V157" s="31">
        <v>44652</v>
      </c>
      <c r="W157" s="1">
        <f t="shared" ca="1" si="4"/>
        <v>4</v>
      </c>
      <c r="X157" s="1" cm="1">
        <f t="array" aca="1" ref="X157" ca="1">_xlfn.IFS(W156=1,8%,W156=2,10%,W156&gt;2,10%,W156&lt;1,0)</f>
        <v>0.1</v>
      </c>
      <c r="Y157" s="35" t="str">
        <f t="shared" si="5"/>
        <v>IMS</v>
      </c>
      <c r="Z157" s="40"/>
      <c r="AA157" s="1" t="str">
        <f>LEFT(PMS_Catalog[[#This Row],[WU Id]],3)</f>
        <v>IMS</v>
      </c>
    </row>
    <row r="158" spans="1:27" ht="39" customHeight="1">
      <c r="A158" s="1" t="s">
        <v>740</v>
      </c>
      <c r="B158" s="1" t="s">
        <v>710</v>
      </c>
      <c r="C158" s="1" t="s">
        <v>92</v>
      </c>
      <c r="D158" s="1" t="s">
        <v>524</v>
      </c>
      <c r="E158" s="1" t="s">
        <v>525</v>
      </c>
      <c r="F158" s="13" t="s">
        <v>81</v>
      </c>
      <c r="G158" s="21" t="s">
        <v>741</v>
      </c>
      <c r="H158" s="21">
        <v>0</v>
      </c>
      <c r="I158" s="1" t="s">
        <v>89</v>
      </c>
      <c r="J158" s="1" t="s">
        <v>89</v>
      </c>
      <c r="K158" s="1" t="s">
        <v>89</v>
      </c>
      <c r="L158" s="1" t="s">
        <v>533</v>
      </c>
      <c r="M158" s="2">
        <v>21.75</v>
      </c>
      <c r="N158" s="34" t="s">
        <v>7</v>
      </c>
      <c r="O158" s="34" t="str">
        <f>IF(ISNUMBER(SEARCH("IMS",PMS_Catalog[[#This Row],[WU Id]])),"IMS",PMS_Catalog[[#This Row],[UNIQUE PRICE per hour]]*PMS_Catalog[[#This Row],[PMS Effort (Hours)]])</f>
        <v>IMS</v>
      </c>
      <c r="P158" s="34">
        <v>7</v>
      </c>
      <c r="Q158" s="53" t="s">
        <v>88</v>
      </c>
      <c r="R158" s="1" t="s">
        <v>89</v>
      </c>
      <c r="S158" s="1"/>
      <c r="T158" s="31">
        <v>44768</v>
      </c>
      <c r="U158" s="1" t="s">
        <v>90</v>
      </c>
      <c r="V158" s="31">
        <v>44652</v>
      </c>
      <c r="W158" s="1">
        <f t="shared" ca="1" si="4"/>
        <v>4</v>
      </c>
      <c r="X158" s="1" cm="1">
        <f t="array" aca="1" ref="X158" ca="1">_xlfn.IFS(W157=1,8%,W157=2,10%,W157&gt;2,10%,W157&lt;1,0)</f>
        <v>0.1</v>
      </c>
      <c r="Y158" s="35" t="str">
        <f t="shared" si="5"/>
        <v>IMS</v>
      </c>
      <c r="Z158" s="40"/>
      <c r="AA158" s="1" t="str">
        <f>LEFT(PMS_Catalog[[#This Row],[WU Id]],3)</f>
        <v>IMS</v>
      </c>
    </row>
    <row r="159" spans="1:27" ht="39" customHeight="1">
      <c r="A159" s="1" t="s">
        <v>742</v>
      </c>
      <c r="B159" s="1" t="s">
        <v>710</v>
      </c>
      <c r="C159" s="1" t="s">
        <v>92</v>
      </c>
      <c r="D159" s="1" t="s">
        <v>524</v>
      </c>
      <c r="E159" s="1" t="s">
        <v>525</v>
      </c>
      <c r="F159" s="13" t="s">
        <v>81</v>
      </c>
      <c r="G159" s="21" t="s">
        <v>743</v>
      </c>
      <c r="H159" s="21">
        <v>0</v>
      </c>
      <c r="I159" s="1" t="s">
        <v>89</v>
      </c>
      <c r="J159" s="1" t="s">
        <v>89</v>
      </c>
      <c r="K159" s="1" t="s">
        <v>89</v>
      </c>
      <c r="L159" s="1" t="s">
        <v>533</v>
      </c>
      <c r="M159" s="2">
        <v>21.75</v>
      </c>
      <c r="N159" s="34" t="s">
        <v>7</v>
      </c>
      <c r="O159" s="34" t="str">
        <f>IF(ISNUMBER(SEARCH("IMS",PMS_Catalog[[#This Row],[WU Id]])),"IMS",PMS_Catalog[[#This Row],[UNIQUE PRICE per hour]]*PMS_Catalog[[#This Row],[PMS Effort (Hours)]])</f>
        <v>IMS</v>
      </c>
      <c r="P159" s="34">
        <v>7</v>
      </c>
      <c r="Q159" s="53" t="s">
        <v>88</v>
      </c>
      <c r="R159" s="1" t="s">
        <v>89</v>
      </c>
      <c r="S159" s="1"/>
      <c r="T159" s="31">
        <v>44768</v>
      </c>
      <c r="U159" s="1" t="s">
        <v>90</v>
      </c>
      <c r="V159" s="31">
        <v>44652</v>
      </c>
      <c r="W159" s="1">
        <f t="shared" ca="1" si="4"/>
        <v>4</v>
      </c>
      <c r="X159" s="1" cm="1">
        <f t="array" aca="1" ref="X159" ca="1">_xlfn.IFS(W158=1,8%,W158=2,10%,W158&gt;2,10%,W158&lt;1,0)</f>
        <v>0.1</v>
      </c>
      <c r="Y159" s="35" t="str">
        <f t="shared" si="5"/>
        <v>IMS</v>
      </c>
      <c r="Z159" s="40"/>
      <c r="AA159" s="1" t="str">
        <f>LEFT(PMS_Catalog[[#This Row],[WU Id]],3)</f>
        <v>IMS</v>
      </c>
    </row>
    <row r="160" spans="1:27" ht="39" customHeight="1">
      <c r="A160" s="1" t="s">
        <v>744</v>
      </c>
      <c r="B160" s="1" t="s">
        <v>710</v>
      </c>
      <c r="C160" s="1" t="s">
        <v>92</v>
      </c>
      <c r="D160" s="1" t="s">
        <v>524</v>
      </c>
      <c r="E160" s="1" t="s">
        <v>525</v>
      </c>
      <c r="F160" s="13" t="s">
        <v>422</v>
      </c>
      <c r="G160" s="21" t="s">
        <v>745</v>
      </c>
      <c r="H160" s="21">
        <v>0</v>
      </c>
      <c r="I160" s="1" t="s">
        <v>89</v>
      </c>
      <c r="J160" s="1" t="s">
        <v>89</v>
      </c>
      <c r="K160" s="1" t="s">
        <v>89</v>
      </c>
      <c r="L160" s="1" t="s">
        <v>277</v>
      </c>
      <c r="M160" s="2">
        <v>21.75</v>
      </c>
      <c r="N160" s="34" t="s">
        <v>7</v>
      </c>
      <c r="O160" s="34" t="str">
        <f>IF(ISNUMBER(SEARCH("IMS",PMS_Catalog[[#This Row],[WU Id]])),"IMS",PMS_Catalog[[#This Row],[UNIQUE PRICE per hour]]*PMS_Catalog[[#This Row],[PMS Effort (Hours)]])</f>
        <v>IMS</v>
      </c>
      <c r="P160" s="34">
        <v>7</v>
      </c>
      <c r="Q160" s="53" t="s">
        <v>88</v>
      </c>
      <c r="R160" s="1" t="s">
        <v>89</v>
      </c>
      <c r="S160" s="1"/>
      <c r="T160" s="31">
        <v>44768</v>
      </c>
      <c r="U160" s="1" t="s">
        <v>90</v>
      </c>
      <c r="V160" s="31">
        <v>44652</v>
      </c>
      <c r="W160" s="1">
        <f t="shared" ca="1" si="4"/>
        <v>4</v>
      </c>
      <c r="X160" s="1" cm="1">
        <f t="array" aca="1" ref="X160" ca="1">_xlfn.IFS(W159=1,8%,W159=2,10%,W159&gt;2,10%,W159&lt;1,0)</f>
        <v>0.1</v>
      </c>
      <c r="Y160" s="35" t="str">
        <f t="shared" si="5"/>
        <v>IMS</v>
      </c>
      <c r="Z160" s="40"/>
      <c r="AA160" s="1" t="str">
        <f>LEFT(PMS_Catalog[[#This Row],[WU Id]],3)</f>
        <v>IMS</v>
      </c>
    </row>
    <row r="161" spans="1:27" ht="39" customHeight="1">
      <c r="A161" s="1" t="s">
        <v>746</v>
      </c>
      <c r="B161" s="1" t="s">
        <v>710</v>
      </c>
      <c r="C161" s="1" t="s">
        <v>92</v>
      </c>
      <c r="D161" s="1" t="s">
        <v>524</v>
      </c>
      <c r="E161" s="1" t="s">
        <v>747</v>
      </c>
      <c r="F161" s="13" t="s">
        <v>81</v>
      </c>
      <c r="G161" s="21" t="s">
        <v>743</v>
      </c>
      <c r="H161" s="21">
        <v>0</v>
      </c>
      <c r="I161" s="1" t="s">
        <v>89</v>
      </c>
      <c r="J161" s="1" t="s">
        <v>89</v>
      </c>
      <c r="K161" s="1" t="s">
        <v>89</v>
      </c>
      <c r="L161" s="1" t="s">
        <v>533</v>
      </c>
      <c r="M161" s="2">
        <v>21.75</v>
      </c>
      <c r="N161" s="34" t="s">
        <v>7</v>
      </c>
      <c r="O161" s="34" t="str">
        <f>IF(ISNUMBER(SEARCH("IMS",PMS_Catalog[[#This Row],[WU Id]])),"IMS",PMS_Catalog[[#This Row],[UNIQUE PRICE per hour]]*PMS_Catalog[[#This Row],[PMS Effort (Hours)]])</f>
        <v>IMS</v>
      </c>
      <c r="P161" s="34">
        <v>7</v>
      </c>
      <c r="Q161" s="53" t="s">
        <v>88</v>
      </c>
      <c r="R161" s="1" t="s">
        <v>89</v>
      </c>
      <c r="S161" s="1"/>
      <c r="T161" s="31">
        <v>44768</v>
      </c>
      <c r="U161" s="1" t="s">
        <v>90</v>
      </c>
      <c r="V161" s="31">
        <v>44652</v>
      </c>
      <c r="W161" s="1">
        <f t="shared" ca="1" si="4"/>
        <v>4</v>
      </c>
      <c r="X161" s="1" cm="1">
        <f t="array" aca="1" ref="X161" ca="1">_xlfn.IFS(W160=1,8%,W160=2,10%,W160&gt;2,10%,W160&lt;1,0)</f>
        <v>0.1</v>
      </c>
      <c r="Y161" s="35" t="str">
        <f t="shared" si="5"/>
        <v>IMS</v>
      </c>
      <c r="Z161" s="40"/>
      <c r="AA161" s="1" t="str">
        <f>LEFT(PMS_Catalog[[#This Row],[WU Id]],3)</f>
        <v>IMS</v>
      </c>
    </row>
    <row r="162" spans="1:27" ht="39" customHeight="1">
      <c r="A162" s="1" t="s">
        <v>748</v>
      </c>
      <c r="B162" s="1" t="s">
        <v>710</v>
      </c>
      <c r="C162" s="1" t="s">
        <v>92</v>
      </c>
      <c r="D162" s="1" t="s">
        <v>450</v>
      </c>
      <c r="E162" s="1" t="s">
        <v>711</v>
      </c>
      <c r="F162" s="14" t="s">
        <v>422</v>
      </c>
      <c r="G162" s="21" t="s">
        <v>749</v>
      </c>
      <c r="H162" s="21">
        <v>0</v>
      </c>
      <c r="I162" s="1" t="s">
        <v>454</v>
      </c>
      <c r="J162" s="1" t="s">
        <v>455</v>
      </c>
      <c r="K162" s="1" t="s">
        <v>89</v>
      </c>
      <c r="L162" s="1" t="s">
        <v>89</v>
      </c>
      <c r="M162" s="2">
        <v>21.75</v>
      </c>
      <c r="N162" s="34" t="s">
        <v>7</v>
      </c>
      <c r="O162" s="34" t="str">
        <f>IF(ISNUMBER(SEARCH("IMS",PMS_Catalog[[#This Row],[WU Id]])),"IMS",PMS_Catalog[[#This Row],[UNIQUE PRICE per hour]]*PMS_Catalog[[#This Row],[PMS Effort (Hours)]])</f>
        <v>IMS</v>
      </c>
      <c r="P162" s="34">
        <v>2</v>
      </c>
      <c r="Q162" s="53" t="s">
        <v>88</v>
      </c>
      <c r="R162" s="1" t="s">
        <v>89</v>
      </c>
      <c r="S162" s="1"/>
      <c r="T162" s="31">
        <v>44768</v>
      </c>
      <c r="U162" s="1" t="s">
        <v>90</v>
      </c>
      <c r="V162" s="31">
        <v>44652</v>
      </c>
      <c r="W162" s="1">
        <f t="shared" ca="1" si="4"/>
        <v>4</v>
      </c>
      <c r="X162" s="1" cm="1">
        <f t="array" aca="1" ref="X162" ca="1">_xlfn.IFS(W161=1,8%,W161=2,10%,W161&gt;2,10%,W161&lt;1,0)</f>
        <v>0.1</v>
      </c>
      <c r="Y162" s="35" t="str">
        <f t="shared" si="5"/>
        <v>IMS</v>
      </c>
      <c r="Z162" s="40"/>
      <c r="AA162" s="1" t="str">
        <f>LEFT(PMS_Catalog[[#This Row],[WU Id]],3)</f>
        <v>IMS</v>
      </c>
    </row>
    <row r="163" spans="1:27" ht="39" customHeight="1">
      <c r="A163" s="1" t="s">
        <v>750</v>
      </c>
      <c r="B163" s="1" t="s">
        <v>78</v>
      </c>
      <c r="C163" s="1" t="s">
        <v>78</v>
      </c>
      <c r="D163" s="1" t="s">
        <v>406</v>
      </c>
      <c r="E163" s="1" t="s">
        <v>407</v>
      </c>
      <c r="F163" s="13" t="s">
        <v>599</v>
      </c>
      <c r="G163" s="21" t="s">
        <v>751</v>
      </c>
      <c r="H163" s="21">
        <v>0</v>
      </c>
      <c r="I163" s="1" t="s">
        <v>89</v>
      </c>
      <c r="J163" s="1" t="s">
        <v>89</v>
      </c>
      <c r="K163" s="1" t="s">
        <v>89</v>
      </c>
      <c r="L163" s="1" t="s">
        <v>413</v>
      </c>
      <c r="M163" s="2">
        <v>21.75</v>
      </c>
      <c r="N163" s="34" t="s">
        <v>7</v>
      </c>
      <c r="O163" s="34" t="str">
        <f>IF(ISNUMBER(SEARCH("IMS",PMS_Catalog[[#This Row],[WU Id]])),"IMS",PMS_Catalog[[#This Row],[UNIQUE PRICE per hour]]*PMS_Catalog[[#This Row],[PMS Effort (Hours)]])</f>
        <v>IMS</v>
      </c>
      <c r="P163" s="34" t="s">
        <v>99</v>
      </c>
      <c r="Q163" s="53" t="s">
        <v>88</v>
      </c>
      <c r="R163" s="1" t="s">
        <v>89</v>
      </c>
      <c r="S163" s="1"/>
      <c r="T163" s="31">
        <v>44768</v>
      </c>
      <c r="U163" s="1" t="s">
        <v>90</v>
      </c>
      <c r="V163" s="31">
        <v>44652</v>
      </c>
      <c r="W163" s="1">
        <f t="shared" ca="1" si="4"/>
        <v>4</v>
      </c>
      <c r="X163" s="1" cm="1">
        <f t="array" aca="1" ref="X163" ca="1">_xlfn.IFS(W162=1,8%,W162=2,10%,W162&gt;2,10%,W162&lt;1,0)</f>
        <v>0.1</v>
      </c>
      <c r="Y163" s="35" t="str">
        <f t="shared" si="5"/>
        <v>IMS</v>
      </c>
      <c r="Z163" s="40"/>
      <c r="AA163" s="1" t="str">
        <f>LEFT(PMS_Catalog[[#This Row],[WU Id]],3)</f>
        <v>IMS</v>
      </c>
    </row>
    <row r="164" spans="1:27" ht="39" customHeight="1">
      <c r="A164" s="1" t="s">
        <v>752</v>
      </c>
      <c r="B164" s="1" t="s">
        <v>78</v>
      </c>
      <c r="C164" s="1" t="s">
        <v>131</v>
      </c>
      <c r="D164" s="1" t="s">
        <v>199</v>
      </c>
      <c r="E164" s="1" t="s">
        <v>753</v>
      </c>
      <c r="F164" s="12" t="s">
        <v>192</v>
      </c>
      <c r="G164" s="21" t="s">
        <v>201</v>
      </c>
      <c r="H164" s="21" t="s">
        <v>202</v>
      </c>
      <c r="I164" s="1" t="s">
        <v>203</v>
      </c>
      <c r="J164" s="1" t="s">
        <v>204</v>
      </c>
      <c r="K164" s="1" t="s">
        <v>754</v>
      </c>
      <c r="L164" s="1" t="s">
        <v>206</v>
      </c>
      <c r="M164" s="2">
        <v>21.75</v>
      </c>
      <c r="N164" s="30">
        <v>2.7</v>
      </c>
      <c r="O164" s="30">
        <f>IF(ISNUMBER(SEARCH("IMS",PMS_Catalog[[#This Row],[WU Id]])),"IMS",PMS_Catalog[[#This Row],[UNIQUE PRICE per hour]]*PMS_Catalog[[#This Row],[PMS Effort (Hours)]])</f>
        <v>58.725000000000001</v>
      </c>
      <c r="P164" s="30">
        <v>10</v>
      </c>
      <c r="Q164" s="53" t="s">
        <v>88</v>
      </c>
      <c r="R164" s="1" t="s">
        <v>89</v>
      </c>
      <c r="S164" s="1"/>
      <c r="T164" s="31">
        <v>44768</v>
      </c>
      <c r="U164" s="1" t="s">
        <v>90</v>
      </c>
      <c r="V164" s="31">
        <v>44652</v>
      </c>
      <c r="W164" s="1">
        <f t="shared" ca="1" si="4"/>
        <v>4</v>
      </c>
      <c r="X164" s="1" cm="1">
        <f t="array" aca="1" ref="X164" ca="1">_xlfn.IFS(W163=1,8%,W163=2,10%,W163&gt;2,10%,W163&lt;1,0)</f>
        <v>0.1</v>
      </c>
      <c r="Y164" s="35">
        <f t="shared" ca="1" si="5"/>
        <v>52.852499999999999</v>
      </c>
      <c r="Z164" s="40"/>
      <c r="AA164" s="1" t="str">
        <f>LEFT(PMS_Catalog[[#This Row],[WU Id]],3)</f>
        <v>PMS</v>
      </c>
    </row>
    <row r="165" spans="1:27" ht="39" customHeight="1">
      <c r="A165" s="1" t="s">
        <v>755</v>
      </c>
      <c r="B165" s="1" t="s">
        <v>710</v>
      </c>
      <c r="C165" s="1" t="s">
        <v>92</v>
      </c>
      <c r="D165" s="1" t="s">
        <v>139</v>
      </c>
      <c r="E165" s="1" t="s">
        <v>139</v>
      </c>
      <c r="F165" s="14" t="s">
        <v>81</v>
      </c>
      <c r="G165" s="21" t="s">
        <v>756</v>
      </c>
      <c r="H165" s="21" t="s">
        <v>757</v>
      </c>
      <c r="I165" s="1" t="s">
        <v>89</v>
      </c>
      <c r="J165" s="1" t="s">
        <v>89</v>
      </c>
      <c r="K165" s="1" t="s">
        <v>89</v>
      </c>
      <c r="L165" s="1" t="s">
        <v>89</v>
      </c>
      <c r="M165" s="2">
        <v>21.75</v>
      </c>
      <c r="N165" s="34" t="s">
        <v>7</v>
      </c>
      <c r="O165" s="34" t="str">
        <f>IF(ISNUMBER(SEARCH("IMS",PMS_Catalog[[#This Row],[WU Id]])),"IMS",PMS_Catalog[[#This Row],[UNIQUE PRICE per hour]]*PMS_Catalog[[#This Row],[PMS Effort (Hours)]])</f>
        <v>IMS</v>
      </c>
      <c r="P165" s="34">
        <v>4</v>
      </c>
      <c r="Q165" s="53" t="s">
        <v>88</v>
      </c>
      <c r="R165" s="1" t="s">
        <v>89</v>
      </c>
      <c r="S165" s="1"/>
      <c r="T165" s="31">
        <v>45021</v>
      </c>
      <c r="U165" s="1" t="s">
        <v>149</v>
      </c>
      <c r="V165" s="31">
        <v>45021</v>
      </c>
      <c r="W165" s="1">
        <f t="shared" ca="1" si="4"/>
        <v>3</v>
      </c>
      <c r="X165" s="1" cm="1">
        <f t="array" aca="1" ref="X165" ca="1">_xlfn.IFS(W164=1,8%,W164=2,10%,W164&gt;2,10%,W164&lt;1,0)</f>
        <v>0.1</v>
      </c>
      <c r="Y165" s="35" t="str">
        <f t="shared" si="5"/>
        <v>IMS</v>
      </c>
      <c r="Z165" s="40"/>
      <c r="AA165" s="1" t="str">
        <f>LEFT(PMS_Catalog[[#This Row],[WU Id]],3)</f>
        <v>IMS</v>
      </c>
    </row>
    <row r="166" spans="1:27" ht="39" customHeight="1">
      <c r="A166" s="1" t="s">
        <v>758</v>
      </c>
      <c r="B166" s="1" t="s">
        <v>710</v>
      </c>
      <c r="C166" s="1" t="s">
        <v>92</v>
      </c>
      <c r="D166" s="1" t="s">
        <v>170</v>
      </c>
      <c r="E166" s="1" t="s">
        <v>759</v>
      </c>
      <c r="F166" s="13" t="s">
        <v>422</v>
      </c>
      <c r="G166" s="21" t="s">
        <v>760</v>
      </c>
      <c r="H166" s="21">
        <v>0</v>
      </c>
      <c r="I166" s="1" t="s">
        <v>89</v>
      </c>
      <c r="J166" s="1" t="s">
        <v>89</v>
      </c>
      <c r="K166" s="1" t="s">
        <v>89</v>
      </c>
      <c r="L166" s="1" t="s">
        <v>89</v>
      </c>
      <c r="M166" s="2">
        <v>21.75</v>
      </c>
      <c r="N166" s="34" t="s">
        <v>7</v>
      </c>
      <c r="O166" s="34" t="str">
        <f>IF(ISNUMBER(SEARCH("IMS",PMS_Catalog[[#This Row],[WU Id]])),"IMS",PMS_Catalog[[#This Row],[UNIQUE PRICE per hour]]*PMS_Catalog[[#This Row],[PMS Effort (Hours)]])</f>
        <v>IMS</v>
      </c>
      <c r="P166" s="34" t="s">
        <v>99</v>
      </c>
      <c r="Q166" s="53" t="s">
        <v>88</v>
      </c>
      <c r="R166" s="1" t="s">
        <v>89</v>
      </c>
      <c r="S166" s="1"/>
      <c r="T166" s="31">
        <v>44768</v>
      </c>
      <c r="U166" s="1" t="s">
        <v>90</v>
      </c>
      <c r="V166" s="31">
        <v>44652</v>
      </c>
      <c r="W166" s="1">
        <f t="shared" ca="1" si="4"/>
        <v>4</v>
      </c>
      <c r="X166" s="1" cm="1">
        <f t="array" aca="1" ref="X166" ca="1">_xlfn.IFS(W165=1,8%,W165=2,10%,W165&gt;2,10%,W165&lt;1,0)</f>
        <v>0.1</v>
      </c>
      <c r="Y166" s="35" t="str">
        <f t="shared" si="5"/>
        <v>IMS</v>
      </c>
      <c r="Z166" s="40"/>
      <c r="AA166" s="1" t="str">
        <f>LEFT(PMS_Catalog[[#This Row],[WU Id]],3)</f>
        <v>IMS</v>
      </c>
    </row>
    <row r="167" spans="1:27" ht="39" customHeight="1">
      <c r="A167" s="1" t="s">
        <v>761</v>
      </c>
      <c r="B167" s="1" t="s">
        <v>710</v>
      </c>
      <c r="C167" s="1" t="s">
        <v>92</v>
      </c>
      <c r="D167" s="1" t="s">
        <v>170</v>
      </c>
      <c r="E167" s="1" t="s">
        <v>762</v>
      </c>
      <c r="F167" s="13" t="s">
        <v>422</v>
      </c>
      <c r="G167" s="21" t="s">
        <v>763</v>
      </c>
      <c r="H167" s="21">
        <v>0</v>
      </c>
      <c r="I167" s="1" t="s">
        <v>89</v>
      </c>
      <c r="J167" s="1" t="s">
        <v>89</v>
      </c>
      <c r="K167" s="1" t="s">
        <v>89</v>
      </c>
      <c r="L167" s="1" t="s">
        <v>89</v>
      </c>
      <c r="M167" s="2">
        <v>21.75</v>
      </c>
      <c r="N167" s="34" t="s">
        <v>7</v>
      </c>
      <c r="O167" s="34" t="str">
        <f>IF(ISNUMBER(SEARCH("IMS",PMS_Catalog[[#This Row],[WU Id]])),"IMS",PMS_Catalog[[#This Row],[UNIQUE PRICE per hour]]*PMS_Catalog[[#This Row],[PMS Effort (Hours)]])</f>
        <v>IMS</v>
      </c>
      <c r="P167" s="34" t="s">
        <v>99</v>
      </c>
      <c r="Q167" s="53" t="s">
        <v>88</v>
      </c>
      <c r="R167" s="1" t="s">
        <v>89</v>
      </c>
      <c r="S167" s="1"/>
      <c r="T167" s="31">
        <v>44768</v>
      </c>
      <c r="U167" s="1" t="s">
        <v>90</v>
      </c>
      <c r="V167" s="31">
        <v>44652</v>
      </c>
      <c r="W167" s="1">
        <f t="shared" ca="1" si="4"/>
        <v>4</v>
      </c>
      <c r="X167" s="1" cm="1">
        <f t="array" aca="1" ref="X167" ca="1">_xlfn.IFS(W166=1,8%,W166=2,10%,W166&gt;2,10%,W166&lt;1,0)</f>
        <v>0.1</v>
      </c>
      <c r="Y167" s="35" t="str">
        <f t="shared" si="5"/>
        <v>IMS</v>
      </c>
      <c r="Z167" s="40"/>
      <c r="AA167" s="1" t="str">
        <f>LEFT(PMS_Catalog[[#This Row],[WU Id]],3)</f>
        <v>IMS</v>
      </c>
    </row>
    <row r="168" spans="1:27" ht="39" customHeight="1">
      <c r="A168" s="1" t="s">
        <v>764</v>
      </c>
      <c r="B168" s="1" t="s">
        <v>710</v>
      </c>
      <c r="C168" s="1" t="s">
        <v>92</v>
      </c>
      <c r="D168" s="1" t="s">
        <v>524</v>
      </c>
      <c r="E168" s="1" t="s">
        <v>525</v>
      </c>
      <c r="F168" s="13" t="s">
        <v>81</v>
      </c>
      <c r="G168" s="21" t="s">
        <v>765</v>
      </c>
      <c r="H168" s="21">
        <v>0</v>
      </c>
      <c r="I168" s="1" t="s">
        <v>89</v>
      </c>
      <c r="J168" s="1" t="s">
        <v>89</v>
      </c>
      <c r="K168" s="1" t="s">
        <v>89</v>
      </c>
      <c r="L168" s="1" t="s">
        <v>533</v>
      </c>
      <c r="M168" s="2">
        <v>21.75</v>
      </c>
      <c r="N168" s="34" t="s">
        <v>7</v>
      </c>
      <c r="O168" s="34" t="str">
        <f>IF(ISNUMBER(SEARCH("IMS",PMS_Catalog[[#This Row],[WU Id]])),"IMS",PMS_Catalog[[#This Row],[UNIQUE PRICE per hour]]*PMS_Catalog[[#This Row],[PMS Effort (Hours)]])</f>
        <v>IMS</v>
      </c>
      <c r="P168" s="34">
        <v>7</v>
      </c>
      <c r="Q168" s="53" t="s">
        <v>88</v>
      </c>
      <c r="R168" s="1" t="s">
        <v>89</v>
      </c>
      <c r="S168" s="1"/>
      <c r="T168" s="31">
        <v>44768</v>
      </c>
      <c r="U168" s="1" t="s">
        <v>90</v>
      </c>
      <c r="V168" s="31">
        <v>44652</v>
      </c>
      <c r="W168" s="1">
        <f t="shared" ca="1" si="4"/>
        <v>4</v>
      </c>
      <c r="X168" s="1" cm="1">
        <f t="array" aca="1" ref="X168" ca="1">_xlfn.IFS(W167=1,8%,W167=2,10%,W167&gt;2,10%,W167&lt;1,0)</f>
        <v>0.1</v>
      </c>
      <c r="Y168" s="35" t="str">
        <f t="shared" si="5"/>
        <v>IMS</v>
      </c>
      <c r="Z168" s="40"/>
      <c r="AA168" s="1" t="str">
        <f>LEFT(PMS_Catalog[[#This Row],[WU Id]],3)</f>
        <v>IMS</v>
      </c>
    </row>
    <row r="169" spans="1:27" ht="39" customHeight="1">
      <c r="A169" s="4" t="s">
        <v>766</v>
      </c>
      <c r="B169" s="4" t="s">
        <v>710</v>
      </c>
      <c r="C169" s="4" t="s">
        <v>92</v>
      </c>
      <c r="D169" s="4" t="s">
        <v>139</v>
      </c>
      <c r="E169" s="4" t="s">
        <v>139</v>
      </c>
      <c r="F169" s="14" t="s">
        <v>81</v>
      </c>
      <c r="G169" s="21" t="s">
        <v>767</v>
      </c>
      <c r="H169" s="21" t="s">
        <v>768</v>
      </c>
      <c r="I169" s="4" t="s">
        <v>89</v>
      </c>
      <c r="J169" s="4" t="s">
        <v>89</v>
      </c>
      <c r="K169" s="4" t="s">
        <v>89</v>
      </c>
      <c r="L169" s="1" t="s">
        <v>89</v>
      </c>
      <c r="M169" s="21">
        <v>21.75</v>
      </c>
      <c r="N169" s="34" t="s">
        <v>7</v>
      </c>
      <c r="O169" s="34" t="str">
        <f>IF(ISNUMBER(SEARCH("IMS",PMS_Catalog[[#This Row],[WU Id]])),"IMS",PMS_Catalog[[#This Row],[UNIQUE PRICE per hour]]*PMS_Catalog[[#This Row],[PMS Effort (Hours)]])</f>
        <v>IMS</v>
      </c>
      <c r="P169" s="34">
        <v>4</v>
      </c>
      <c r="Q169" s="53" t="s">
        <v>88</v>
      </c>
      <c r="R169" s="1" t="s">
        <v>89</v>
      </c>
      <c r="S169" s="1"/>
      <c r="T169" s="31">
        <v>45021</v>
      </c>
      <c r="U169" s="1" t="s">
        <v>149</v>
      </c>
      <c r="V169" s="31">
        <v>45021</v>
      </c>
      <c r="W169" s="1">
        <f t="shared" ca="1" si="4"/>
        <v>3</v>
      </c>
      <c r="X169" s="1" cm="1">
        <f t="array" aca="1" ref="X169" ca="1">_xlfn.IFS(W168=1,8%,W168=2,10%,W168&gt;2,10%,W168&lt;1,0)</f>
        <v>0.1</v>
      </c>
      <c r="Y169" s="35" t="str">
        <f t="shared" si="5"/>
        <v>IMS</v>
      </c>
      <c r="Z169" s="40"/>
      <c r="AA169" s="1" t="str">
        <f>LEFT(PMS_Catalog[[#This Row],[WU Id]],3)</f>
        <v>IMS</v>
      </c>
    </row>
    <row r="170" spans="1:27" ht="39" customHeight="1">
      <c r="A170" s="1" t="s">
        <v>769</v>
      </c>
      <c r="B170" s="1" t="s">
        <v>78</v>
      </c>
      <c r="C170" s="1" t="s">
        <v>92</v>
      </c>
      <c r="D170" s="1" t="s">
        <v>406</v>
      </c>
      <c r="E170" s="1" t="s">
        <v>406</v>
      </c>
      <c r="F170" s="13" t="s">
        <v>81</v>
      </c>
      <c r="G170" s="21" t="s">
        <v>770</v>
      </c>
      <c r="H170" s="21">
        <v>0</v>
      </c>
      <c r="I170" s="1" t="s">
        <v>770</v>
      </c>
      <c r="J170" s="1" t="s">
        <v>771</v>
      </c>
      <c r="K170" s="1" t="s">
        <v>772</v>
      </c>
      <c r="L170" s="1" t="s">
        <v>259</v>
      </c>
      <c r="M170" s="2">
        <v>21.75</v>
      </c>
      <c r="N170" s="34" t="s">
        <v>7</v>
      </c>
      <c r="O170" s="34" t="str">
        <f>IF(ISNUMBER(SEARCH("IMS",PMS_Catalog[[#This Row],[WU Id]])),"IMS",PMS_Catalog[[#This Row],[UNIQUE PRICE per hour]]*PMS_Catalog[[#This Row],[PMS Effort (Hours)]])</f>
        <v>IMS</v>
      </c>
      <c r="P170" s="34">
        <v>5</v>
      </c>
      <c r="Q170" s="53" t="s">
        <v>88</v>
      </c>
      <c r="R170" s="1" t="s">
        <v>89</v>
      </c>
      <c r="S170" s="1"/>
      <c r="T170" s="31">
        <v>44768</v>
      </c>
      <c r="U170" s="1" t="s">
        <v>90</v>
      </c>
      <c r="V170" s="31">
        <v>44652</v>
      </c>
      <c r="W170" s="1">
        <f t="shared" ca="1" si="4"/>
        <v>4</v>
      </c>
      <c r="X170" s="1" cm="1">
        <f t="array" aca="1" ref="X170" ca="1">_xlfn.IFS(W169=1,8%,W169=2,10%,W169&gt;2,10%,W169&lt;1,0)</f>
        <v>0.1</v>
      </c>
      <c r="Y170" s="35" t="str">
        <f t="shared" si="5"/>
        <v>IMS</v>
      </c>
      <c r="Z170" s="40"/>
      <c r="AA170" s="1" t="str">
        <f>LEFT(PMS_Catalog[[#This Row],[WU Id]],3)</f>
        <v>IMS</v>
      </c>
    </row>
    <row r="171" spans="1:27" ht="39" customHeight="1">
      <c r="A171" s="1" t="s">
        <v>773</v>
      </c>
      <c r="B171" s="1" t="s">
        <v>78</v>
      </c>
      <c r="C171" s="1" t="s">
        <v>131</v>
      </c>
      <c r="D171" s="1" t="s">
        <v>406</v>
      </c>
      <c r="E171" s="1" t="s">
        <v>774</v>
      </c>
      <c r="F171" s="13" t="s">
        <v>81</v>
      </c>
      <c r="G171" s="21" t="s">
        <v>770</v>
      </c>
      <c r="H171" s="21">
        <v>0</v>
      </c>
      <c r="I171" s="1" t="s">
        <v>770</v>
      </c>
      <c r="J171" s="1" t="s">
        <v>771</v>
      </c>
      <c r="K171" s="1" t="s">
        <v>772</v>
      </c>
      <c r="L171" s="1" t="s">
        <v>259</v>
      </c>
      <c r="M171" s="2">
        <v>21.75</v>
      </c>
      <c r="N171" s="34" t="s">
        <v>7</v>
      </c>
      <c r="O171" s="34" t="str">
        <f>IF(ISNUMBER(SEARCH("IMS",PMS_Catalog[[#This Row],[WU Id]])),"IMS",PMS_Catalog[[#This Row],[UNIQUE PRICE per hour]]*PMS_Catalog[[#This Row],[PMS Effort (Hours)]])</f>
        <v>IMS</v>
      </c>
      <c r="P171" s="34">
        <v>5</v>
      </c>
      <c r="Q171" s="53" t="s">
        <v>88</v>
      </c>
      <c r="R171" s="1" t="s">
        <v>89</v>
      </c>
      <c r="S171" s="1"/>
      <c r="T171" s="31">
        <v>44768</v>
      </c>
      <c r="U171" s="1" t="s">
        <v>90</v>
      </c>
      <c r="V171" s="31">
        <v>44652</v>
      </c>
      <c r="W171" s="1">
        <f t="shared" ca="1" si="4"/>
        <v>4</v>
      </c>
      <c r="X171" s="1" cm="1">
        <f t="array" aca="1" ref="X171" ca="1">_xlfn.IFS(W170=1,8%,W170=2,10%,W170&gt;2,10%,W170&lt;1,0)</f>
        <v>0.1</v>
      </c>
      <c r="Y171" s="35" t="str">
        <f t="shared" si="5"/>
        <v>IMS</v>
      </c>
      <c r="Z171" s="40"/>
      <c r="AA171" s="1" t="str">
        <f>LEFT(PMS_Catalog[[#This Row],[WU Id]],3)</f>
        <v>IMS</v>
      </c>
    </row>
    <row r="172" spans="1:27" ht="39" customHeight="1">
      <c r="A172" s="1" t="s">
        <v>775</v>
      </c>
      <c r="B172" s="1" t="s">
        <v>78</v>
      </c>
      <c r="C172" s="1" t="s">
        <v>131</v>
      </c>
      <c r="D172" s="1" t="s">
        <v>406</v>
      </c>
      <c r="E172" s="1" t="s">
        <v>776</v>
      </c>
      <c r="F172" s="13" t="s">
        <v>81</v>
      </c>
      <c r="G172" s="21" t="s">
        <v>770</v>
      </c>
      <c r="H172" s="21">
        <v>0</v>
      </c>
      <c r="I172" s="1" t="s">
        <v>770</v>
      </c>
      <c r="J172" s="1" t="s">
        <v>771</v>
      </c>
      <c r="K172" s="1" t="s">
        <v>772</v>
      </c>
      <c r="L172" s="1" t="s">
        <v>259</v>
      </c>
      <c r="M172" s="2">
        <v>21.75</v>
      </c>
      <c r="N172" s="34" t="s">
        <v>7</v>
      </c>
      <c r="O172" s="34" t="str">
        <f>IF(ISNUMBER(SEARCH("IMS",PMS_Catalog[[#This Row],[WU Id]])),"IMS",PMS_Catalog[[#This Row],[UNIQUE PRICE per hour]]*PMS_Catalog[[#This Row],[PMS Effort (Hours)]])</f>
        <v>IMS</v>
      </c>
      <c r="P172" s="34">
        <v>5</v>
      </c>
      <c r="Q172" s="53" t="s">
        <v>88</v>
      </c>
      <c r="R172" s="1" t="s">
        <v>89</v>
      </c>
      <c r="S172" s="1"/>
      <c r="T172" s="31">
        <v>44768</v>
      </c>
      <c r="U172" s="1" t="s">
        <v>90</v>
      </c>
      <c r="V172" s="31">
        <v>44652</v>
      </c>
      <c r="W172" s="1">
        <f t="shared" ca="1" si="4"/>
        <v>4</v>
      </c>
      <c r="X172" s="1" cm="1">
        <f t="array" aca="1" ref="X172" ca="1">_xlfn.IFS(W171=1,8%,W171=2,10%,W171&gt;2,10%,W171&lt;1,0)</f>
        <v>0.1</v>
      </c>
      <c r="Y172" s="35" t="str">
        <f t="shared" si="5"/>
        <v>IMS</v>
      </c>
      <c r="Z172" s="40"/>
      <c r="AA172" s="1" t="str">
        <f>LEFT(PMS_Catalog[[#This Row],[WU Id]],3)</f>
        <v>IMS</v>
      </c>
    </row>
    <row r="173" spans="1:27" ht="39" customHeight="1">
      <c r="A173" s="1" t="s">
        <v>777</v>
      </c>
      <c r="B173" s="1" t="s">
        <v>78</v>
      </c>
      <c r="C173" s="1" t="s">
        <v>92</v>
      </c>
      <c r="D173" s="1" t="s">
        <v>170</v>
      </c>
      <c r="E173" s="1" t="s">
        <v>642</v>
      </c>
      <c r="F173" s="13" t="s">
        <v>81</v>
      </c>
      <c r="G173" s="21" t="s">
        <v>770</v>
      </c>
      <c r="H173" s="21">
        <v>0</v>
      </c>
      <c r="I173" s="1" t="s">
        <v>770</v>
      </c>
      <c r="J173" s="1" t="s">
        <v>771</v>
      </c>
      <c r="K173" s="1" t="s">
        <v>778</v>
      </c>
      <c r="L173" s="1" t="s">
        <v>259</v>
      </c>
      <c r="M173" s="2">
        <v>21.75</v>
      </c>
      <c r="N173" s="34" t="s">
        <v>7</v>
      </c>
      <c r="O173" s="34" t="str">
        <f>IF(ISNUMBER(SEARCH("IMS",PMS_Catalog[[#This Row],[WU Id]])),"IMS",PMS_Catalog[[#This Row],[UNIQUE PRICE per hour]]*PMS_Catalog[[#This Row],[PMS Effort (Hours)]])</f>
        <v>IMS</v>
      </c>
      <c r="P173" s="34">
        <v>5</v>
      </c>
      <c r="Q173" s="53" t="s">
        <v>88</v>
      </c>
      <c r="R173" s="1" t="s">
        <v>89</v>
      </c>
      <c r="S173" s="1"/>
      <c r="T173" s="31">
        <v>44768</v>
      </c>
      <c r="U173" s="1" t="s">
        <v>90</v>
      </c>
      <c r="V173" s="31">
        <v>44652</v>
      </c>
      <c r="W173" s="1">
        <f t="shared" ca="1" si="4"/>
        <v>4</v>
      </c>
      <c r="X173" s="1" cm="1">
        <f t="array" aca="1" ref="X173" ca="1">_xlfn.IFS(W172=1,8%,W172=2,10%,W172&gt;2,10%,W172&lt;1,0)</f>
        <v>0.1</v>
      </c>
      <c r="Y173" s="35" t="str">
        <f t="shared" si="5"/>
        <v>IMS</v>
      </c>
      <c r="Z173" s="40"/>
      <c r="AA173" s="1" t="str">
        <f>LEFT(PMS_Catalog[[#This Row],[WU Id]],3)</f>
        <v>IMS</v>
      </c>
    </row>
    <row r="174" spans="1:27" ht="39" customHeight="1">
      <c r="A174" s="1" t="s">
        <v>779</v>
      </c>
      <c r="B174" s="1" t="s">
        <v>78</v>
      </c>
      <c r="C174" s="1" t="s">
        <v>131</v>
      </c>
      <c r="D174" s="1" t="s">
        <v>170</v>
      </c>
      <c r="E174" s="1" t="s">
        <v>780</v>
      </c>
      <c r="F174" s="13" t="s">
        <v>81</v>
      </c>
      <c r="G174" s="21" t="s">
        <v>770</v>
      </c>
      <c r="H174" s="21">
        <v>0</v>
      </c>
      <c r="I174" s="1" t="s">
        <v>770</v>
      </c>
      <c r="J174" s="1" t="s">
        <v>771</v>
      </c>
      <c r="K174" s="1" t="s">
        <v>778</v>
      </c>
      <c r="L174" s="1" t="s">
        <v>259</v>
      </c>
      <c r="M174" s="2">
        <v>21.75</v>
      </c>
      <c r="N174" s="34" t="s">
        <v>7</v>
      </c>
      <c r="O174" s="34" t="str">
        <f>IF(ISNUMBER(SEARCH("IMS",PMS_Catalog[[#This Row],[WU Id]])),"IMS",PMS_Catalog[[#This Row],[UNIQUE PRICE per hour]]*PMS_Catalog[[#This Row],[PMS Effort (Hours)]])</f>
        <v>IMS</v>
      </c>
      <c r="P174" s="34">
        <v>5</v>
      </c>
      <c r="Q174" s="53" t="s">
        <v>88</v>
      </c>
      <c r="R174" s="1" t="s">
        <v>89</v>
      </c>
      <c r="S174" s="1"/>
      <c r="T174" s="31">
        <v>44768</v>
      </c>
      <c r="U174" s="1" t="s">
        <v>90</v>
      </c>
      <c r="V174" s="31">
        <v>44652</v>
      </c>
      <c r="W174" s="1">
        <f t="shared" ca="1" si="4"/>
        <v>4</v>
      </c>
      <c r="X174" s="1" cm="1">
        <f t="array" aca="1" ref="X174" ca="1">_xlfn.IFS(W173=1,8%,W173=2,10%,W173&gt;2,10%,W173&lt;1,0)</f>
        <v>0.1</v>
      </c>
      <c r="Y174" s="35" t="str">
        <f t="shared" si="5"/>
        <v>IMS</v>
      </c>
      <c r="Z174" s="40"/>
      <c r="AA174" s="1" t="str">
        <f>LEFT(PMS_Catalog[[#This Row],[WU Id]],3)</f>
        <v>IMS</v>
      </c>
    </row>
    <row r="175" spans="1:27" ht="39" customHeight="1">
      <c r="A175" s="1" t="s">
        <v>781</v>
      </c>
      <c r="B175" s="1" t="s">
        <v>78</v>
      </c>
      <c r="C175" s="1" t="s">
        <v>131</v>
      </c>
      <c r="D175" s="1" t="s">
        <v>170</v>
      </c>
      <c r="E175" s="1" t="s">
        <v>782</v>
      </c>
      <c r="F175" s="13" t="s">
        <v>81</v>
      </c>
      <c r="G175" s="21" t="s">
        <v>770</v>
      </c>
      <c r="H175" s="21">
        <v>0</v>
      </c>
      <c r="I175" s="1" t="s">
        <v>770</v>
      </c>
      <c r="J175" s="1" t="s">
        <v>771</v>
      </c>
      <c r="K175" s="1" t="s">
        <v>778</v>
      </c>
      <c r="L175" s="1" t="s">
        <v>259</v>
      </c>
      <c r="M175" s="2">
        <v>21.75</v>
      </c>
      <c r="N175" s="34" t="s">
        <v>7</v>
      </c>
      <c r="O175" s="34" t="str">
        <f>IF(ISNUMBER(SEARCH("IMS",PMS_Catalog[[#This Row],[WU Id]])),"IMS",PMS_Catalog[[#This Row],[UNIQUE PRICE per hour]]*PMS_Catalog[[#This Row],[PMS Effort (Hours)]])</f>
        <v>IMS</v>
      </c>
      <c r="P175" s="34">
        <v>5</v>
      </c>
      <c r="Q175" s="53" t="s">
        <v>88</v>
      </c>
      <c r="R175" s="1" t="s">
        <v>89</v>
      </c>
      <c r="S175" s="1"/>
      <c r="T175" s="31">
        <v>44768</v>
      </c>
      <c r="U175" s="1" t="s">
        <v>90</v>
      </c>
      <c r="V175" s="31">
        <v>44652</v>
      </c>
      <c r="W175" s="1">
        <f t="shared" ca="1" si="4"/>
        <v>4</v>
      </c>
      <c r="X175" s="1" cm="1">
        <f t="array" aca="1" ref="X175" ca="1">_xlfn.IFS(W174=1,8%,W174=2,10%,W174&gt;2,10%,W174&lt;1,0)</f>
        <v>0.1</v>
      </c>
      <c r="Y175" s="35" t="str">
        <f t="shared" si="5"/>
        <v>IMS</v>
      </c>
      <c r="Z175" s="40"/>
      <c r="AA175" s="1" t="str">
        <f>LEFT(PMS_Catalog[[#This Row],[WU Id]],3)</f>
        <v>IMS</v>
      </c>
    </row>
    <row r="176" spans="1:27" ht="39" customHeight="1">
      <c r="A176" s="1" t="s">
        <v>783</v>
      </c>
      <c r="B176" s="1" t="s">
        <v>78</v>
      </c>
      <c r="C176" s="1" t="s">
        <v>92</v>
      </c>
      <c r="D176" s="1" t="s">
        <v>406</v>
      </c>
      <c r="E176" s="1" t="s">
        <v>406</v>
      </c>
      <c r="F176" s="13" t="s">
        <v>81</v>
      </c>
      <c r="G176" s="21" t="s">
        <v>784</v>
      </c>
      <c r="H176" s="21">
        <v>0</v>
      </c>
      <c r="I176" s="1" t="s">
        <v>785</v>
      </c>
      <c r="J176" s="1" t="s">
        <v>786</v>
      </c>
      <c r="K176" s="1" t="s">
        <v>787</v>
      </c>
      <c r="L176" s="1" t="s">
        <v>259</v>
      </c>
      <c r="M176" s="2">
        <v>21.75</v>
      </c>
      <c r="N176" s="34" t="s">
        <v>7</v>
      </c>
      <c r="O176" s="34" t="str">
        <f>IF(ISNUMBER(SEARCH("IMS",PMS_Catalog[[#This Row],[WU Id]])),"IMS",PMS_Catalog[[#This Row],[UNIQUE PRICE per hour]]*PMS_Catalog[[#This Row],[PMS Effort (Hours)]])</f>
        <v>IMS</v>
      </c>
      <c r="P176" s="34">
        <v>3</v>
      </c>
      <c r="Q176" s="53" t="s">
        <v>88</v>
      </c>
      <c r="R176" s="1" t="s">
        <v>89</v>
      </c>
      <c r="S176" s="1"/>
      <c r="T176" s="31">
        <v>44768</v>
      </c>
      <c r="U176" s="1" t="s">
        <v>90</v>
      </c>
      <c r="V176" s="31">
        <v>44652</v>
      </c>
      <c r="W176" s="1">
        <f t="shared" ca="1" si="4"/>
        <v>4</v>
      </c>
      <c r="X176" s="1" cm="1">
        <f t="array" aca="1" ref="X176" ca="1">_xlfn.IFS(W175=1,8%,W175=2,10%,W175&gt;2,10%,W175&lt;1,0)</f>
        <v>0.1</v>
      </c>
      <c r="Y176" s="35" t="str">
        <f t="shared" si="5"/>
        <v>IMS</v>
      </c>
      <c r="Z176" s="40"/>
      <c r="AA176" s="1" t="str">
        <f>LEFT(PMS_Catalog[[#This Row],[WU Id]],3)</f>
        <v>IMS</v>
      </c>
    </row>
    <row r="177" spans="1:27" ht="39" customHeight="1">
      <c r="A177" s="1" t="s">
        <v>788</v>
      </c>
      <c r="B177" s="1" t="s">
        <v>78</v>
      </c>
      <c r="C177" s="1" t="s">
        <v>131</v>
      </c>
      <c r="D177" s="1" t="s">
        <v>406</v>
      </c>
      <c r="E177" s="1" t="s">
        <v>774</v>
      </c>
      <c r="F177" s="13" t="s">
        <v>81</v>
      </c>
      <c r="G177" s="21" t="s">
        <v>784</v>
      </c>
      <c r="H177" s="21">
        <v>0</v>
      </c>
      <c r="I177" s="1" t="s">
        <v>785</v>
      </c>
      <c r="J177" s="1" t="s">
        <v>786</v>
      </c>
      <c r="K177" s="1" t="s">
        <v>787</v>
      </c>
      <c r="L177" s="1" t="s">
        <v>259</v>
      </c>
      <c r="M177" s="2">
        <v>21.75</v>
      </c>
      <c r="N177" s="34" t="s">
        <v>7</v>
      </c>
      <c r="O177" s="34" t="str">
        <f>IF(ISNUMBER(SEARCH("IMS",PMS_Catalog[[#This Row],[WU Id]])),"IMS",PMS_Catalog[[#This Row],[UNIQUE PRICE per hour]]*PMS_Catalog[[#This Row],[PMS Effort (Hours)]])</f>
        <v>IMS</v>
      </c>
      <c r="P177" s="34">
        <v>3</v>
      </c>
      <c r="Q177" s="53" t="s">
        <v>88</v>
      </c>
      <c r="R177" s="1" t="s">
        <v>89</v>
      </c>
      <c r="S177" s="1"/>
      <c r="T177" s="31">
        <v>44768</v>
      </c>
      <c r="U177" s="1" t="s">
        <v>90</v>
      </c>
      <c r="V177" s="31">
        <v>44652</v>
      </c>
      <c r="W177" s="1">
        <f t="shared" ca="1" si="4"/>
        <v>4</v>
      </c>
      <c r="X177" s="1" cm="1">
        <f t="array" aca="1" ref="X177" ca="1">_xlfn.IFS(W176=1,8%,W176=2,10%,W176&gt;2,10%,W176&lt;1,0)</f>
        <v>0.1</v>
      </c>
      <c r="Y177" s="35" t="str">
        <f t="shared" si="5"/>
        <v>IMS</v>
      </c>
      <c r="Z177" s="40"/>
      <c r="AA177" s="1" t="str">
        <f>LEFT(PMS_Catalog[[#This Row],[WU Id]],3)</f>
        <v>IMS</v>
      </c>
    </row>
    <row r="178" spans="1:27" ht="39" customHeight="1">
      <c r="A178" s="1" t="s">
        <v>789</v>
      </c>
      <c r="B178" s="1" t="s">
        <v>78</v>
      </c>
      <c r="C178" s="1" t="s">
        <v>131</v>
      </c>
      <c r="D178" s="1" t="s">
        <v>406</v>
      </c>
      <c r="E178" s="1" t="s">
        <v>776</v>
      </c>
      <c r="F178" s="13" t="s">
        <v>81</v>
      </c>
      <c r="G178" s="21" t="s">
        <v>784</v>
      </c>
      <c r="H178" s="21">
        <v>0</v>
      </c>
      <c r="I178" s="1" t="s">
        <v>785</v>
      </c>
      <c r="J178" s="1" t="s">
        <v>786</v>
      </c>
      <c r="K178" s="1" t="s">
        <v>787</v>
      </c>
      <c r="L178" s="1" t="s">
        <v>259</v>
      </c>
      <c r="M178" s="2">
        <v>21.75</v>
      </c>
      <c r="N178" s="34" t="s">
        <v>7</v>
      </c>
      <c r="O178" s="34" t="str">
        <f>IF(ISNUMBER(SEARCH("IMS",PMS_Catalog[[#This Row],[WU Id]])),"IMS",PMS_Catalog[[#This Row],[UNIQUE PRICE per hour]]*PMS_Catalog[[#This Row],[PMS Effort (Hours)]])</f>
        <v>IMS</v>
      </c>
      <c r="P178" s="34">
        <v>3</v>
      </c>
      <c r="Q178" s="53" t="s">
        <v>88</v>
      </c>
      <c r="R178" s="1" t="s">
        <v>89</v>
      </c>
      <c r="S178" s="1"/>
      <c r="T178" s="31">
        <v>44768</v>
      </c>
      <c r="U178" s="1" t="s">
        <v>90</v>
      </c>
      <c r="V178" s="31">
        <v>44652</v>
      </c>
      <c r="W178" s="1">
        <f t="shared" ca="1" si="4"/>
        <v>4</v>
      </c>
      <c r="X178" s="1" cm="1">
        <f t="array" aca="1" ref="X178" ca="1">_xlfn.IFS(W177=1,8%,W177=2,10%,W177&gt;2,10%,W177&lt;1,0)</f>
        <v>0.1</v>
      </c>
      <c r="Y178" s="35" t="str">
        <f t="shared" si="5"/>
        <v>IMS</v>
      </c>
      <c r="Z178" s="40"/>
      <c r="AA178" s="1" t="str">
        <f>LEFT(PMS_Catalog[[#This Row],[WU Id]],3)</f>
        <v>IMS</v>
      </c>
    </row>
    <row r="179" spans="1:27" ht="39" customHeight="1">
      <c r="A179" s="1" t="s">
        <v>790</v>
      </c>
      <c r="B179" s="1" t="s">
        <v>78</v>
      </c>
      <c r="C179" s="1" t="s">
        <v>92</v>
      </c>
      <c r="D179" s="1" t="s">
        <v>170</v>
      </c>
      <c r="E179" s="1" t="s">
        <v>642</v>
      </c>
      <c r="F179" s="13" t="s">
        <v>81</v>
      </c>
      <c r="G179" s="21" t="s">
        <v>784</v>
      </c>
      <c r="H179" s="21">
        <v>0</v>
      </c>
      <c r="I179" s="1" t="s">
        <v>785</v>
      </c>
      <c r="J179" s="1" t="s">
        <v>786</v>
      </c>
      <c r="K179" s="1" t="s">
        <v>791</v>
      </c>
      <c r="L179" s="1" t="s">
        <v>259</v>
      </c>
      <c r="M179" s="2">
        <v>21.75</v>
      </c>
      <c r="N179" s="34" t="s">
        <v>7</v>
      </c>
      <c r="O179" s="34" t="str">
        <f>IF(ISNUMBER(SEARCH("IMS",PMS_Catalog[[#This Row],[WU Id]])),"IMS",PMS_Catalog[[#This Row],[UNIQUE PRICE per hour]]*PMS_Catalog[[#This Row],[PMS Effort (Hours)]])</f>
        <v>IMS</v>
      </c>
      <c r="P179" s="34">
        <v>3</v>
      </c>
      <c r="Q179" s="53" t="s">
        <v>88</v>
      </c>
      <c r="R179" s="1" t="s">
        <v>89</v>
      </c>
      <c r="S179" s="1"/>
      <c r="T179" s="31">
        <v>44768</v>
      </c>
      <c r="U179" s="1" t="s">
        <v>90</v>
      </c>
      <c r="V179" s="31">
        <v>44652</v>
      </c>
      <c r="W179" s="1">
        <f t="shared" ca="1" si="4"/>
        <v>4</v>
      </c>
      <c r="X179" s="1" cm="1">
        <f t="array" aca="1" ref="X179" ca="1">_xlfn.IFS(W178=1,8%,W178=2,10%,W178&gt;2,10%,W178&lt;1,0)</f>
        <v>0.1</v>
      </c>
      <c r="Y179" s="35" t="str">
        <f t="shared" si="5"/>
        <v>IMS</v>
      </c>
      <c r="Z179" s="40"/>
      <c r="AA179" s="1" t="str">
        <f>LEFT(PMS_Catalog[[#This Row],[WU Id]],3)</f>
        <v>IMS</v>
      </c>
    </row>
    <row r="180" spans="1:27" ht="39" customHeight="1">
      <c r="A180" s="1" t="s">
        <v>792</v>
      </c>
      <c r="B180" s="1" t="s">
        <v>78</v>
      </c>
      <c r="C180" s="1" t="s">
        <v>131</v>
      </c>
      <c r="D180" s="1" t="s">
        <v>170</v>
      </c>
      <c r="E180" s="1" t="s">
        <v>780</v>
      </c>
      <c r="F180" s="13" t="s">
        <v>81</v>
      </c>
      <c r="G180" s="21" t="s">
        <v>784</v>
      </c>
      <c r="H180" s="21">
        <v>0</v>
      </c>
      <c r="I180" s="1" t="s">
        <v>785</v>
      </c>
      <c r="J180" s="1" t="s">
        <v>786</v>
      </c>
      <c r="K180" s="1" t="s">
        <v>791</v>
      </c>
      <c r="L180" s="1" t="s">
        <v>259</v>
      </c>
      <c r="M180" s="2">
        <v>21.75</v>
      </c>
      <c r="N180" s="34" t="s">
        <v>7</v>
      </c>
      <c r="O180" s="34" t="str">
        <f>IF(ISNUMBER(SEARCH("IMS",PMS_Catalog[[#This Row],[WU Id]])),"IMS",PMS_Catalog[[#This Row],[UNIQUE PRICE per hour]]*PMS_Catalog[[#This Row],[PMS Effort (Hours)]])</f>
        <v>IMS</v>
      </c>
      <c r="P180" s="34">
        <v>3</v>
      </c>
      <c r="Q180" s="53" t="s">
        <v>88</v>
      </c>
      <c r="R180" s="1" t="s">
        <v>89</v>
      </c>
      <c r="S180" s="1"/>
      <c r="T180" s="31">
        <v>44768</v>
      </c>
      <c r="U180" s="1" t="s">
        <v>90</v>
      </c>
      <c r="V180" s="31">
        <v>44652</v>
      </c>
      <c r="W180" s="1">
        <f t="shared" ca="1" si="4"/>
        <v>4</v>
      </c>
      <c r="X180" s="1" cm="1">
        <f t="array" aca="1" ref="X180" ca="1">_xlfn.IFS(W179=1,8%,W179=2,10%,W179&gt;2,10%,W179&lt;1,0)</f>
        <v>0.1</v>
      </c>
      <c r="Y180" s="35" t="str">
        <f t="shared" si="5"/>
        <v>IMS</v>
      </c>
      <c r="Z180" s="40"/>
      <c r="AA180" s="1" t="str">
        <f>LEFT(PMS_Catalog[[#This Row],[WU Id]],3)</f>
        <v>IMS</v>
      </c>
    </row>
    <row r="181" spans="1:27" ht="39" customHeight="1">
      <c r="A181" s="1" t="s">
        <v>793</v>
      </c>
      <c r="B181" s="1" t="s">
        <v>78</v>
      </c>
      <c r="C181" s="1" t="s">
        <v>131</v>
      </c>
      <c r="D181" s="1" t="s">
        <v>170</v>
      </c>
      <c r="E181" s="1" t="s">
        <v>782</v>
      </c>
      <c r="F181" s="13" t="s">
        <v>81</v>
      </c>
      <c r="G181" s="21" t="s">
        <v>784</v>
      </c>
      <c r="H181" s="21">
        <v>0</v>
      </c>
      <c r="I181" s="1" t="s">
        <v>785</v>
      </c>
      <c r="J181" s="1" t="s">
        <v>786</v>
      </c>
      <c r="K181" s="1" t="s">
        <v>791</v>
      </c>
      <c r="L181" s="1" t="s">
        <v>259</v>
      </c>
      <c r="M181" s="2">
        <v>21.75</v>
      </c>
      <c r="N181" s="34" t="s">
        <v>7</v>
      </c>
      <c r="O181" s="34" t="str">
        <f>IF(ISNUMBER(SEARCH("IMS",PMS_Catalog[[#This Row],[WU Id]])),"IMS",PMS_Catalog[[#This Row],[UNIQUE PRICE per hour]]*PMS_Catalog[[#This Row],[PMS Effort (Hours)]])</f>
        <v>IMS</v>
      </c>
      <c r="P181" s="34">
        <v>3</v>
      </c>
      <c r="Q181" s="53" t="s">
        <v>88</v>
      </c>
      <c r="R181" s="1" t="s">
        <v>89</v>
      </c>
      <c r="S181" s="1"/>
      <c r="T181" s="31">
        <v>44768</v>
      </c>
      <c r="U181" s="1" t="s">
        <v>90</v>
      </c>
      <c r="V181" s="31">
        <v>44652</v>
      </c>
      <c r="W181" s="1">
        <f t="shared" ca="1" si="4"/>
        <v>4</v>
      </c>
      <c r="X181" s="1" cm="1">
        <f t="array" aca="1" ref="X181" ca="1">_xlfn.IFS(W180=1,8%,W180=2,10%,W180&gt;2,10%,W180&lt;1,0)</f>
        <v>0.1</v>
      </c>
      <c r="Y181" s="35" t="str">
        <f t="shared" si="5"/>
        <v>IMS</v>
      </c>
      <c r="Z181" s="40"/>
      <c r="AA181" s="1" t="str">
        <f>LEFT(PMS_Catalog[[#This Row],[WU Id]],3)</f>
        <v>IMS</v>
      </c>
    </row>
    <row r="182" spans="1:27" ht="39" customHeight="1">
      <c r="A182" s="1" t="s">
        <v>794</v>
      </c>
      <c r="B182" s="1" t="s">
        <v>78</v>
      </c>
      <c r="C182" s="1" t="s">
        <v>92</v>
      </c>
      <c r="D182" s="1" t="s">
        <v>406</v>
      </c>
      <c r="E182" s="1" t="s">
        <v>406</v>
      </c>
      <c r="F182" s="13" t="s">
        <v>81</v>
      </c>
      <c r="G182" s="21" t="s">
        <v>795</v>
      </c>
      <c r="H182" s="21">
        <v>0</v>
      </c>
      <c r="I182" s="1" t="s">
        <v>785</v>
      </c>
      <c r="J182" s="1" t="s">
        <v>786</v>
      </c>
      <c r="K182" s="1" t="s">
        <v>796</v>
      </c>
      <c r="L182" s="1" t="s">
        <v>259</v>
      </c>
      <c r="M182" s="2">
        <v>21.75</v>
      </c>
      <c r="N182" s="34" t="s">
        <v>7</v>
      </c>
      <c r="O182" s="34" t="str">
        <f>IF(ISNUMBER(SEARCH("IMS",PMS_Catalog[[#This Row],[WU Id]])),"IMS",PMS_Catalog[[#This Row],[UNIQUE PRICE per hour]]*PMS_Catalog[[#This Row],[PMS Effort (Hours)]])</f>
        <v>IMS</v>
      </c>
      <c r="P182" s="34">
        <v>3</v>
      </c>
      <c r="Q182" s="53" t="s">
        <v>88</v>
      </c>
      <c r="R182" s="1" t="s">
        <v>89</v>
      </c>
      <c r="S182" s="1"/>
      <c r="T182" s="31">
        <v>44768</v>
      </c>
      <c r="U182" s="1" t="s">
        <v>90</v>
      </c>
      <c r="V182" s="31">
        <v>44652</v>
      </c>
      <c r="W182" s="1">
        <f t="shared" ca="1" si="4"/>
        <v>4</v>
      </c>
      <c r="X182" s="1" cm="1">
        <f t="array" aca="1" ref="X182" ca="1">_xlfn.IFS(W181=1,8%,W181=2,10%,W181&gt;2,10%,W181&lt;1,0)</f>
        <v>0.1</v>
      </c>
      <c r="Y182" s="35" t="str">
        <f t="shared" si="5"/>
        <v>IMS</v>
      </c>
      <c r="Z182" s="40"/>
      <c r="AA182" s="1" t="str">
        <f>LEFT(PMS_Catalog[[#This Row],[WU Id]],3)</f>
        <v>IMS</v>
      </c>
    </row>
    <row r="183" spans="1:27" ht="39" customHeight="1">
      <c r="A183" s="1" t="s">
        <v>797</v>
      </c>
      <c r="B183" s="1" t="s">
        <v>78</v>
      </c>
      <c r="C183" s="1" t="s">
        <v>131</v>
      </c>
      <c r="D183" s="1" t="s">
        <v>406</v>
      </c>
      <c r="E183" s="1" t="s">
        <v>774</v>
      </c>
      <c r="F183" s="13" t="s">
        <v>81</v>
      </c>
      <c r="G183" s="21" t="s">
        <v>795</v>
      </c>
      <c r="H183" s="21">
        <v>0</v>
      </c>
      <c r="I183" s="1"/>
      <c r="J183" s="1" t="s">
        <v>786</v>
      </c>
      <c r="K183" s="1" t="s">
        <v>796</v>
      </c>
      <c r="L183" s="1" t="s">
        <v>259</v>
      </c>
      <c r="M183" s="2">
        <v>21.75</v>
      </c>
      <c r="N183" s="34" t="s">
        <v>7</v>
      </c>
      <c r="O183" s="34" t="str">
        <f>IF(ISNUMBER(SEARCH("IMS",PMS_Catalog[[#This Row],[WU Id]])),"IMS",PMS_Catalog[[#This Row],[UNIQUE PRICE per hour]]*PMS_Catalog[[#This Row],[PMS Effort (Hours)]])</f>
        <v>IMS</v>
      </c>
      <c r="P183" s="34">
        <v>3</v>
      </c>
      <c r="Q183" s="53" t="s">
        <v>88</v>
      </c>
      <c r="R183" s="1" t="s">
        <v>89</v>
      </c>
      <c r="S183" s="1"/>
      <c r="T183" s="31">
        <v>44768</v>
      </c>
      <c r="U183" s="1" t="s">
        <v>90</v>
      </c>
      <c r="V183" s="31">
        <v>44652</v>
      </c>
      <c r="W183" s="1">
        <f t="shared" ca="1" si="4"/>
        <v>4</v>
      </c>
      <c r="X183" s="1" cm="1">
        <f t="array" aca="1" ref="X183" ca="1">_xlfn.IFS(W182=1,8%,W182=2,10%,W182&gt;2,10%,W182&lt;1,0)</f>
        <v>0.1</v>
      </c>
      <c r="Y183" s="35" t="str">
        <f t="shared" si="5"/>
        <v>IMS</v>
      </c>
      <c r="Z183" s="40"/>
      <c r="AA183" s="1" t="str">
        <f>LEFT(PMS_Catalog[[#This Row],[WU Id]],3)</f>
        <v>IMS</v>
      </c>
    </row>
    <row r="184" spans="1:27" ht="39" customHeight="1">
      <c r="A184" s="1" t="s">
        <v>798</v>
      </c>
      <c r="B184" s="1" t="s">
        <v>78</v>
      </c>
      <c r="C184" s="1" t="s">
        <v>131</v>
      </c>
      <c r="D184" s="1" t="s">
        <v>406</v>
      </c>
      <c r="E184" s="1" t="s">
        <v>776</v>
      </c>
      <c r="F184" s="13" t="s">
        <v>81</v>
      </c>
      <c r="G184" s="21" t="s">
        <v>795</v>
      </c>
      <c r="H184" s="21">
        <v>0</v>
      </c>
      <c r="I184" s="1" t="s">
        <v>785</v>
      </c>
      <c r="J184" s="1" t="s">
        <v>786</v>
      </c>
      <c r="K184" s="1" t="s">
        <v>796</v>
      </c>
      <c r="L184" s="1" t="s">
        <v>259</v>
      </c>
      <c r="M184" s="2">
        <v>21.75</v>
      </c>
      <c r="N184" s="34" t="s">
        <v>7</v>
      </c>
      <c r="O184" s="34" t="str">
        <f>IF(ISNUMBER(SEARCH("IMS",PMS_Catalog[[#This Row],[WU Id]])),"IMS",PMS_Catalog[[#This Row],[UNIQUE PRICE per hour]]*PMS_Catalog[[#This Row],[PMS Effort (Hours)]])</f>
        <v>IMS</v>
      </c>
      <c r="P184" s="34">
        <v>3</v>
      </c>
      <c r="Q184" s="53" t="s">
        <v>88</v>
      </c>
      <c r="R184" s="1" t="s">
        <v>89</v>
      </c>
      <c r="S184" s="1"/>
      <c r="T184" s="31">
        <v>44768</v>
      </c>
      <c r="U184" s="1" t="s">
        <v>90</v>
      </c>
      <c r="V184" s="31">
        <v>44652</v>
      </c>
      <c r="W184" s="1">
        <f t="shared" ca="1" si="4"/>
        <v>4</v>
      </c>
      <c r="X184" s="1" cm="1">
        <f t="array" aca="1" ref="X184" ca="1">_xlfn.IFS(W183=1,8%,W183=2,10%,W183&gt;2,10%,W183&lt;1,0)</f>
        <v>0.1</v>
      </c>
      <c r="Y184" s="35" t="str">
        <f t="shared" si="5"/>
        <v>IMS</v>
      </c>
      <c r="Z184" s="40"/>
      <c r="AA184" s="1" t="str">
        <f>LEFT(PMS_Catalog[[#This Row],[WU Id]],3)</f>
        <v>IMS</v>
      </c>
    </row>
    <row r="185" spans="1:27" ht="39" customHeight="1">
      <c r="A185" s="1" t="s">
        <v>799</v>
      </c>
      <c r="B185" s="1" t="s">
        <v>78</v>
      </c>
      <c r="C185" s="1" t="s">
        <v>92</v>
      </c>
      <c r="D185" s="1" t="s">
        <v>170</v>
      </c>
      <c r="E185" s="1" t="s">
        <v>642</v>
      </c>
      <c r="F185" s="13" t="s">
        <v>81</v>
      </c>
      <c r="G185" s="21" t="s">
        <v>795</v>
      </c>
      <c r="H185" s="21">
        <v>0</v>
      </c>
      <c r="I185" s="1" t="s">
        <v>785</v>
      </c>
      <c r="J185" s="1" t="s">
        <v>786</v>
      </c>
      <c r="K185" s="1" t="s">
        <v>800</v>
      </c>
      <c r="L185" s="1" t="s">
        <v>259</v>
      </c>
      <c r="M185" s="2">
        <v>21.75</v>
      </c>
      <c r="N185" s="34" t="s">
        <v>7</v>
      </c>
      <c r="O185" s="34" t="str">
        <f>IF(ISNUMBER(SEARCH("IMS",PMS_Catalog[[#This Row],[WU Id]])),"IMS",PMS_Catalog[[#This Row],[UNIQUE PRICE per hour]]*PMS_Catalog[[#This Row],[PMS Effort (Hours)]])</f>
        <v>IMS</v>
      </c>
      <c r="P185" s="34">
        <v>3</v>
      </c>
      <c r="Q185" s="53" t="s">
        <v>88</v>
      </c>
      <c r="R185" s="1" t="s">
        <v>89</v>
      </c>
      <c r="S185" s="1"/>
      <c r="T185" s="31">
        <v>44768</v>
      </c>
      <c r="U185" s="1" t="s">
        <v>90</v>
      </c>
      <c r="V185" s="31">
        <v>44652</v>
      </c>
      <c r="W185" s="1">
        <f t="shared" ca="1" si="4"/>
        <v>4</v>
      </c>
      <c r="X185" s="1" cm="1">
        <f t="array" aca="1" ref="X185" ca="1">_xlfn.IFS(W184=1,8%,W184=2,10%,W184&gt;2,10%,W184&lt;1,0)</f>
        <v>0.1</v>
      </c>
      <c r="Y185" s="35" t="str">
        <f t="shared" si="5"/>
        <v>IMS</v>
      </c>
      <c r="Z185" s="40"/>
      <c r="AA185" s="1" t="str">
        <f>LEFT(PMS_Catalog[[#This Row],[WU Id]],3)</f>
        <v>IMS</v>
      </c>
    </row>
    <row r="186" spans="1:27" ht="39" customHeight="1">
      <c r="A186" s="1" t="s">
        <v>801</v>
      </c>
      <c r="B186" s="1" t="s">
        <v>78</v>
      </c>
      <c r="C186" s="1" t="s">
        <v>131</v>
      </c>
      <c r="D186" s="1" t="s">
        <v>170</v>
      </c>
      <c r="E186" s="1" t="s">
        <v>780</v>
      </c>
      <c r="F186" s="13" t="s">
        <v>81</v>
      </c>
      <c r="G186" s="21" t="s">
        <v>795</v>
      </c>
      <c r="H186" s="21">
        <v>0</v>
      </c>
      <c r="I186" s="1" t="s">
        <v>785</v>
      </c>
      <c r="J186" s="1" t="s">
        <v>786</v>
      </c>
      <c r="K186" s="1" t="s">
        <v>800</v>
      </c>
      <c r="L186" s="1" t="s">
        <v>259</v>
      </c>
      <c r="M186" s="2">
        <v>21.75</v>
      </c>
      <c r="N186" s="34" t="s">
        <v>7</v>
      </c>
      <c r="O186" s="34" t="str">
        <f>IF(ISNUMBER(SEARCH("IMS",PMS_Catalog[[#This Row],[WU Id]])),"IMS",PMS_Catalog[[#This Row],[UNIQUE PRICE per hour]]*PMS_Catalog[[#This Row],[PMS Effort (Hours)]])</f>
        <v>IMS</v>
      </c>
      <c r="P186" s="34">
        <v>3</v>
      </c>
      <c r="Q186" s="53" t="s">
        <v>88</v>
      </c>
      <c r="R186" s="1" t="s">
        <v>89</v>
      </c>
      <c r="S186" s="1"/>
      <c r="T186" s="31">
        <v>44768</v>
      </c>
      <c r="U186" s="1" t="s">
        <v>90</v>
      </c>
      <c r="V186" s="31">
        <v>44652</v>
      </c>
      <c r="W186" s="1">
        <f t="shared" ca="1" si="4"/>
        <v>4</v>
      </c>
      <c r="X186" s="1" cm="1">
        <f t="array" aca="1" ref="X186" ca="1">_xlfn.IFS(W185=1,8%,W185=2,10%,W185&gt;2,10%,W185&lt;1,0)</f>
        <v>0.1</v>
      </c>
      <c r="Y186" s="35" t="str">
        <f t="shared" si="5"/>
        <v>IMS</v>
      </c>
      <c r="Z186" s="40"/>
      <c r="AA186" s="1" t="str">
        <f>LEFT(PMS_Catalog[[#This Row],[WU Id]],3)</f>
        <v>IMS</v>
      </c>
    </row>
    <row r="187" spans="1:27" ht="39" customHeight="1">
      <c r="A187" s="1" t="s">
        <v>802</v>
      </c>
      <c r="B187" s="1" t="s">
        <v>78</v>
      </c>
      <c r="C187" s="1" t="s">
        <v>131</v>
      </c>
      <c r="D187" s="1" t="s">
        <v>170</v>
      </c>
      <c r="E187" s="1" t="s">
        <v>782</v>
      </c>
      <c r="F187" s="13" t="s">
        <v>81</v>
      </c>
      <c r="G187" s="21" t="s">
        <v>795</v>
      </c>
      <c r="H187" s="21">
        <v>0</v>
      </c>
      <c r="I187" s="1" t="s">
        <v>785</v>
      </c>
      <c r="J187" s="1" t="s">
        <v>786</v>
      </c>
      <c r="K187" s="1" t="s">
        <v>800</v>
      </c>
      <c r="L187" s="1" t="s">
        <v>259</v>
      </c>
      <c r="M187" s="2">
        <v>21.75</v>
      </c>
      <c r="N187" s="34" t="s">
        <v>7</v>
      </c>
      <c r="O187" s="34" t="str">
        <f>IF(ISNUMBER(SEARCH("IMS",PMS_Catalog[[#This Row],[WU Id]])),"IMS",PMS_Catalog[[#This Row],[UNIQUE PRICE per hour]]*PMS_Catalog[[#This Row],[PMS Effort (Hours)]])</f>
        <v>IMS</v>
      </c>
      <c r="P187" s="34">
        <v>3</v>
      </c>
      <c r="Q187" s="53" t="s">
        <v>88</v>
      </c>
      <c r="R187" s="1" t="s">
        <v>89</v>
      </c>
      <c r="S187" s="1"/>
      <c r="T187" s="31">
        <v>44768</v>
      </c>
      <c r="U187" s="1" t="s">
        <v>90</v>
      </c>
      <c r="V187" s="31">
        <v>44652</v>
      </c>
      <c r="W187" s="1">
        <f t="shared" ca="1" si="4"/>
        <v>4</v>
      </c>
      <c r="X187" s="1" cm="1">
        <f t="array" aca="1" ref="X187" ca="1">_xlfn.IFS(W186=1,8%,W186=2,10%,W186&gt;2,10%,W186&lt;1,0)</f>
        <v>0.1</v>
      </c>
      <c r="Y187" s="35" t="str">
        <f t="shared" si="5"/>
        <v>IMS</v>
      </c>
      <c r="Z187" s="40"/>
      <c r="AA187" s="1" t="str">
        <f>LEFT(PMS_Catalog[[#This Row],[WU Id]],3)</f>
        <v>IMS</v>
      </c>
    </row>
    <row r="188" spans="1:27" ht="39" customHeight="1">
      <c r="A188" s="1" t="s">
        <v>803</v>
      </c>
      <c r="B188" s="1" t="s">
        <v>78</v>
      </c>
      <c r="C188" s="1" t="s">
        <v>92</v>
      </c>
      <c r="D188" s="1" t="s">
        <v>406</v>
      </c>
      <c r="E188" s="1" t="s">
        <v>406</v>
      </c>
      <c r="F188" s="13" t="s">
        <v>81</v>
      </c>
      <c r="G188" s="21" t="s">
        <v>804</v>
      </c>
      <c r="H188" s="21">
        <v>0</v>
      </c>
      <c r="I188" s="1" t="s">
        <v>804</v>
      </c>
      <c r="J188" s="1" t="s">
        <v>805</v>
      </c>
      <c r="K188" s="1" t="s">
        <v>806</v>
      </c>
      <c r="L188" s="1" t="s">
        <v>259</v>
      </c>
      <c r="M188" s="2">
        <v>21.75</v>
      </c>
      <c r="N188" s="34" t="s">
        <v>7</v>
      </c>
      <c r="O188" s="34" t="str">
        <f>IF(ISNUMBER(SEARCH("IMS",PMS_Catalog[[#This Row],[WU Id]])),"IMS",PMS_Catalog[[#This Row],[UNIQUE PRICE per hour]]*PMS_Catalog[[#This Row],[PMS Effort (Hours)]])</f>
        <v>IMS</v>
      </c>
      <c r="P188" s="34">
        <v>3</v>
      </c>
      <c r="Q188" s="53" t="s">
        <v>88</v>
      </c>
      <c r="R188" s="1" t="s">
        <v>89</v>
      </c>
      <c r="S188" s="1"/>
      <c r="T188" s="31">
        <v>44768</v>
      </c>
      <c r="U188" s="1" t="s">
        <v>90</v>
      </c>
      <c r="V188" s="31">
        <v>44652</v>
      </c>
      <c r="W188" s="1">
        <f t="shared" ca="1" si="4"/>
        <v>4</v>
      </c>
      <c r="X188" s="1" cm="1">
        <f t="array" aca="1" ref="X188" ca="1">_xlfn.IFS(W187=1,8%,W187=2,10%,W187&gt;2,10%,W187&lt;1,0)</f>
        <v>0.1</v>
      </c>
      <c r="Y188" s="35" t="str">
        <f t="shared" si="5"/>
        <v>IMS</v>
      </c>
      <c r="Z188" s="40"/>
      <c r="AA188" s="1" t="str">
        <f>LEFT(PMS_Catalog[[#This Row],[WU Id]],3)</f>
        <v>IMS</v>
      </c>
    </row>
    <row r="189" spans="1:27" ht="39" customHeight="1">
      <c r="A189" s="1" t="s">
        <v>807</v>
      </c>
      <c r="B189" s="1" t="s">
        <v>78</v>
      </c>
      <c r="C189" s="1" t="s">
        <v>92</v>
      </c>
      <c r="D189" s="1" t="s">
        <v>170</v>
      </c>
      <c r="E189" s="1" t="s">
        <v>642</v>
      </c>
      <c r="F189" s="13" t="s">
        <v>81</v>
      </c>
      <c r="G189" s="21" t="s">
        <v>808</v>
      </c>
      <c r="H189" s="21">
        <v>0</v>
      </c>
      <c r="I189" s="1" t="s">
        <v>809</v>
      </c>
      <c r="J189" s="1" t="s">
        <v>810</v>
      </c>
      <c r="K189" s="1" t="s">
        <v>811</v>
      </c>
      <c r="L189" s="1" t="s">
        <v>259</v>
      </c>
      <c r="M189" s="2">
        <v>21.75</v>
      </c>
      <c r="N189" s="34" t="s">
        <v>7</v>
      </c>
      <c r="O189" s="34" t="str">
        <f>IF(ISNUMBER(SEARCH("IMS",PMS_Catalog[[#This Row],[WU Id]])),"IMS",PMS_Catalog[[#This Row],[UNIQUE PRICE per hour]]*PMS_Catalog[[#This Row],[PMS Effort (Hours)]])</f>
        <v>IMS</v>
      </c>
      <c r="P189" s="34">
        <v>3</v>
      </c>
      <c r="Q189" s="53" t="s">
        <v>88</v>
      </c>
      <c r="R189" s="1" t="s">
        <v>89</v>
      </c>
      <c r="S189" s="1"/>
      <c r="T189" s="31">
        <v>44768</v>
      </c>
      <c r="U189" s="1" t="s">
        <v>90</v>
      </c>
      <c r="V189" s="31">
        <v>44652</v>
      </c>
      <c r="W189" s="1">
        <f t="shared" ca="1" si="4"/>
        <v>4</v>
      </c>
      <c r="X189" s="1" cm="1">
        <f t="array" aca="1" ref="X189" ca="1">_xlfn.IFS(W188=1,8%,W188=2,10%,W188&gt;2,10%,W188&lt;1,0)</f>
        <v>0.1</v>
      </c>
      <c r="Y189" s="35" t="str">
        <f t="shared" si="5"/>
        <v>IMS</v>
      </c>
      <c r="Z189" s="40"/>
      <c r="AA189" s="1" t="str">
        <f>LEFT(PMS_Catalog[[#This Row],[WU Id]],3)</f>
        <v>IMS</v>
      </c>
    </row>
    <row r="190" spans="1:27" ht="39" customHeight="1">
      <c r="A190" s="1" t="s">
        <v>812</v>
      </c>
      <c r="B190" s="1" t="s">
        <v>78</v>
      </c>
      <c r="C190" s="1" t="s">
        <v>92</v>
      </c>
      <c r="D190" s="1" t="s">
        <v>170</v>
      </c>
      <c r="E190" s="1" t="s">
        <v>177</v>
      </c>
      <c r="F190" s="13" t="s">
        <v>81</v>
      </c>
      <c r="G190" s="21" t="s">
        <v>808</v>
      </c>
      <c r="H190" s="21">
        <v>0</v>
      </c>
      <c r="I190" s="1" t="s">
        <v>809</v>
      </c>
      <c r="J190" s="1" t="s">
        <v>810</v>
      </c>
      <c r="K190" s="1" t="s">
        <v>813</v>
      </c>
      <c r="L190" s="1" t="s">
        <v>259</v>
      </c>
      <c r="M190" s="2">
        <v>21.75</v>
      </c>
      <c r="N190" s="34" t="s">
        <v>7</v>
      </c>
      <c r="O190" s="34" t="str">
        <f>IF(ISNUMBER(SEARCH("IMS",PMS_Catalog[[#This Row],[WU Id]])),"IMS",PMS_Catalog[[#This Row],[UNIQUE PRICE per hour]]*PMS_Catalog[[#This Row],[PMS Effort (Hours)]])</f>
        <v>IMS</v>
      </c>
      <c r="P190" s="34">
        <v>3</v>
      </c>
      <c r="Q190" s="53" t="s">
        <v>88</v>
      </c>
      <c r="R190" s="1" t="s">
        <v>89</v>
      </c>
      <c r="S190" s="1"/>
      <c r="T190" s="31">
        <v>44768</v>
      </c>
      <c r="U190" s="1" t="s">
        <v>90</v>
      </c>
      <c r="V190" s="31">
        <v>44652</v>
      </c>
      <c r="W190" s="1">
        <f t="shared" ca="1" si="4"/>
        <v>4</v>
      </c>
      <c r="X190" s="1" cm="1">
        <f t="array" aca="1" ref="X190" ca="1">_xlfn.IFS(W189=1,8%,W189=2,10%,W189&gt;2,10%,W189&lt;1,0)</f>
        <v>0.1</v>
      </c>
      <c r="Y190" s="35" t="str">
        <f t="shared" si="5"/>
        <v>IMS</v>
      </c>
      <c r="Z190" s="40"/>
      <c r="AA190" s="1" t="str">
        <f>LEFT(PMS_Catalog[[#This Row],[WU Id]],3)</f>
        <v>IMS</v>
      </c>
    </row>
    <row r="191" spans="1:27" ht="39" customHeight="1">
      <c r="A191" s="1" t="s">
        <v>814</v>
      </c>
      <c r="B191" s="1" t="s">
        <v>78</v>
      </c>
      <c r="C191" s="1" t="s">
        <v>92</v>
      </c>
      <c r="D191" s="1" t="s">
        <v>406</v>
      </c>
      <c r="E191" s="1" t="s">
        <v>406</v>
      </c>
      <c r="F191" s="13" t="s">
        <v>140</v>
      </c>
      <c r="G191" s="21" t="s">
        <v>815</v>
      </c>
      <c r="H191" s="21">
        <v>0</v>
      </c>
      <c r="I191" s="1" t="s">
        <v>89</v>
      </c>
      <c r="J191" s="1" t="s">
        <v>89</v>
      </c>
      <c r="K191" s="1" t="s">
        <v>816</v>
      </c>
      <c r="L191" s="1" t="s">
        <v>646</v>
      </c>
      <c r="M191" s="2">
        <v>21.75</v>
      </c>
      <c r="N191" s="34" t="s">
        <v>7</v>
      </c>
      <c r="O191" s="34" t="str">
        <f>IF(ISNUMBER(SEARCH("IMS",PMS_Catalog[[#This Row],[WU Id]])),"IMS",PMS_Catalog[[#This Row],[UNIQUE PRICE per hour]]*PMS_Catalog[[#This Row],[PMS Effort (Hours)]])</f>
        <v>IMS</v>
      </c>
      <c r="P191" s="34" t="s">
        <v>99</v>
      </c>
      <c r="Q191" s="53" t="s">
        <v>88</v>
      </c>
      <c r="R191" s="1" t="s">
        <v>89</v>
      </c>
      <c r="S191" s="1"/>
      <c r="T191" s="31">
        <v>44768</v>
      </c>
      <c r="U191" s="1" t="s">
        <v>90</v>
      </c>
      <c r="V191" s="31">
        <v>44652</v>
      </c>
      <c r="W191" s="1">
        <f t="shared" ca="1" si="4"/>
        <v>4</v>
      </c>
      <c r="X191" s="1" cm="1">
        <f t="array" aca="1" ref="X191" ca="1">_xlfn.IFS(W190=1,8%,W190=2,10%,W190&gt;2,10%,W190&lt;1,0)</f>
        <v>0.1</v>
      </c>
      <c r="Y191" s="35" t="str">
        <f t="shared" si="5"/>
        <v>IMS</v>
      </c>
      <c r="Z191" s="40"/>
      <c r="AA191" s="1" t="str">
        <f>LEFT(PMS_Catalog[[#This Row],[WU Id]],3)</f>
        <v>IMS</v>
      </c>
    </row>
    <row r="192" spans="1:27" ht="39" customHeight="1">
      <c r="A192" s="1" t="s">
        <v>817</v>
      </c>
      <c r="B192" s="1" t="s">
        <v>710</v>
      </c>
      <c r="C192" s="1" t="s">
        <v>92</v>
      </c>
      <c r="D192" s="1" t="s">
        <v>191</v>
      </c>
      <c r="E192" s="1" t="s">
        <v>191</v>
      </c>
      <c r="F192" s="12" t="s">
        <v>192</v>
      </c>
      <c r="G192" s="21" t="s">
        <v>818</v>
      </c>
      <c r="H192" s="21" t="s">
        <v>819</v>
      </c>
      <c r="I192" s="1" t="s">
        <v>89</v>
      </c>
      <c r="J192" s="1" t="s">
        <v>89</v>
      </c>
      <c r="K192" s="1" t="s">
        <v>89</v>
      </c>
      <c r="L192" s="1" t="s">
        <v>820</v>
      </c>
      <c r="M192" s="2">
        <v>21.75</v>
      </c>
      <c r="N192" s="30">
        <v>14</v>
      </c>
      <c r="O192" s="30">
        <f>IF(ISNUMBER(SEARCH("IMS",PMS_Catalog[[#This Row],[WU Id]])),"IMS",IF(PMS_Catalog[[#This Row],[WRITE HERE THE NUMBER that you need for : JOBS for PMS_WU_7003 and 7002 OR  for WU PMS_WU_2017 and 2020 and 2241 and 2242]]=0,0,PMS_Catalog[[#This Row],[UNIQUE PRICE per hour]]*PMS_Catalog[[#This Row],[PMS Effort (Hours)]]+((PMS_Catalog[[#This Row],[WRITE HERE THE NUMBER that you need for : JOBS for PMS_WU_7003 and 7002 OR  for WU PMS_WU_2017 and 2020 and 2241 and 2242]]-1)*PMS_Catalog[[#This Row],[UNIQUE PRICE per hour]]*PMS_Catalog[[#This Row],[PMS Effort (Hours)]]*PMS_Catalog[[#This Row],[PMS WU //° rate (%)]])))</f>
        <v>0</v>
      </c>
      <c r="P192" s="30">
        <v>5</v>
      </c>
      <c r="Q192" s="53" t="s">
        <v>88</v>
      </c>
      <c r="R192" s="1">
        <v>0.25</v>
      </c>
      <c r="S192" s="1"/>
      <c r="T192" s="31">
        <v>45728</v>
      </c>
      <c r="U192" s="1" t="s">
        <v>703</v>
      </c>
      <c r="V192" s="31">
        <v>44652</v>
      </c>
      <c r="W192" s="1">
        <f t="shared" ca="1" si="4"/>
        <v>4</v>
      </c>
      <c r="X192" s="1" cm="1">
        <f t="array" aca="1" ref="X192" ca="1">_xlfn.IFS(W191=1,8%,W191=2,10%,W191&gt;2,10%,W191&lt;1,0)</f>
        <v>0.1</v>
      </c>
      <c r="Y192" s="35">
        <f t="shared" ca="1" si="5"/>
        <v>0</v>
      </c>
      <c r="Z192" s="1">
        <v>0</v>
      </c>
      <c r="AA192" s="1" t="str">
        <f>LEFT(PMS_Catalog[[#This Row],[WU Id]],3)</f>
        <v>PMS</v>
      </c>
    </row>
    <row r="193" spans="1:27" ht="39" customHeight="1">
      <c r="A193" s="1" t="s">
        <v>821</v>
      </c>
      <c r="B193" s="1" t="s">
        <v>78</v>
      </c>
      <c r="C193" s="1" t="s">
        <v>92</v>
      </c>
      <c r="D193" s="1" t="s">
        <v>170</v>
      </c>
      <c r="E193" s="1" t="s">
        <v>642</v>
      </c>
      <c r="F193" s="13" t="s">
        <v>140</v>
      </c>
      <c r="G193" s="21" t="s">
        <v>815</v>
      </c>
      <c r="H193" s="21">
        <v>0</v>
      </c>
      <c r="I193" s="1" t="s">
        <v>89</v>
      </c>
      <c r="J193" s="1" t="s">
        <v>89</v>
      </c>
      <c r="K193" s="1" t="s">
        <v>822</v>
      </c>
      <c r="L193" s="1" t="s">
        <v>259</v>
      </c>
      <c r="M193" s="2">
        <v>21.75</v>
      </c>
      <c r="N193" s="34" t="s">
        <v>7</v>
      </c>
      <c r="O193" s="34" t="str">
        <f>IF(ISNUMBER(SEARCH("IMS",PMS_Catalog[[#This Row],[WU Id]])),"IMS",PMS_Catalog[[#This Row],[UNIQUE PRICE per hour]]*PMS_Catalog[[#This Row],[PMS Effort (Hours)]])</f>
        <v>IMS</v>
      </c>
      <c r="P193" s="34" t="s">
        <v>99</v>
      </c>
      <c r="Q193" s="53" t="s">
        <v>88</v>
      </c>
      <c r="R193" s="1" t="s">
        <v>89</v>
      </c>
      <c r="S193" s="1"/>
      <c r="T193" s="31">
        <v>44768</v>
      </c>
      <c r="U193" s="1" t="s">
        <v>90</v>
      </c>
      <c r="V193" s="31">
        <v>44652</v>
      </c>
      <c r="W193" s="1">
        <f t="shared" ca="1" si="4"/>
        <v>4</v>
      </c>
      <c r="X193" s="1" cm="1">
        <f t="array" aca="1" ref="X193" ca="1">_xlfn.IFS(W192=1,8%,W192=2,10%,W192&gt;2,10%,W192&lt;1,0)</f>
        <v>0.1</v>
      </c>
      <c r="Y193" s="35" t="str">
        <f t="shared" si="5"/>
        <v>IMS</v>
      </c>
      <c r="Z193" s="40"/>
      <c r="AA193" s="1" t="str">
        <f>LEFT(PMS_Catalog[[#This Row],[WU Id]],3)</f>
        <v>IMS</v>
      </c>
    </row>
    <row r="194" spans="1:27" ht="39" customHeight="1">
      <c r="A194" s="1" t="s">
        <v>823</v>
      </c>
      <c r="B194" s="1" t="s">
        <v>78</v>
      </c>
      <c r="C194" s="1" t="s">
        <v>92</v>
      </c>
      <c r="D194" s="1" t="s">
        <v>170</v>
      </c>
      <c r="E194" s="1" t="s">
        <v>177</v>
      </c>
      <c r="F194" s="13" t="s">
        <v>140</v>
      </c>
      <c r="G194" s="21" t="s">
        <v>815</v>
      </c>
      <c r="H194" s="21">
        <v>0</v>
      </c>
      <c r="I194" s="1" t="s">
        <v>89</v>
      </c>
      <c r="J194" s="1" t="s">
        <v>89</v>
      </c>
      <c r="K194" s="1" t="s">
        <v>824</v>
      </c>
      <c r="L194" s="1" t="s">
        <v>259</v>
      </c>
      <c r="M194" s="2">
        <v>21.75</v>
      </c>
      <c r="N194" s="34" t="s">
        <v>7</v>
      </c>
      <c r="O194" s="34" t="str">
        <f>IF(ISNUMBER(SEARCH("IMS",PMS_Catalog[[#This Row],[WU Id]])),"IMS",PMS_Catalog[[#This Row],[UNIQUE PRICE per hour]]*PMS_Catalog[[#This Row],[PMS Effort (Hours)]])</f>
        <v>IMS</v>
      </c>
      <c r="P194" s="34" t="s">
        <v>99</v>
      </c>
      <c r="Q194" s="53" t="s">
        <v>88</v>
      </c>
      <c r="R194" s="1" t="s">
        <v>89</v>
      </c>
      <c r="S194" s="1"/>
      <c r="T194" s="31">
        <v>44768</v>
      </c>
      <c r="U194" s="1" t="s">
        <v>90</v>
      </c>
      <c r="V194" s="31">
        <v>44652</v>
      </c>
      <c r="W194" s="1">
        <f t="shared" ref="W194:W257" ca="1" si="6">DATEDIF(V194, TODAY(), "Y")</f>
        <v>4</v>
      </c>
      <c r="X194" s="1" cm="1">
        <f t="array" aca="1" ref="X194" ca="1">_xlfn.IFS(W193=1,8%,W193=2,10%,W193&gt;2,10%,W193&lt;1,0)</f>
        <v>0.1</v>
      </c>
      <c r="Y194" s="35" t="str">
        <f t="shared" ref="Y194:Y257" si="7">IF(ISNUMBER(SEARCH("IMS",A194)),"IMS",O194-O194*X194)</f>
        <v>IMS</v>
      </c>
      <c r="Z194" s="40"/>
      <c r="AA194" s="1" t="str">
        <f>LEFT(PMS_Catalog[[#This Row],[WU Id]],3)</f>
        <v>IMS</v>
      </c>
    </row>
    <row r="195" spans="1:27" ht="39" customHeight="1">
      <c r="A195" s="1" t="s">
        <v>825</v>
      </c>
      <c r="B195" s="1" t="s">
        <v>78</v>
      </c>
      <c r="C195" s="1" t="s">
        <v>92</v>
      </c>
      <c r="D195" s="1" t="s">
        <v>406</v>
      </c>
      <c r="E195" s="1" t="s">
        <v>406</v>
      </c>
      <c r="F195" s="13" t="s">
        <v>140</v>
      </c>
      <c r="G195" s="21" t="s">
        <v>826</v>
      </c>
      <c r="H195" s="21">
        <v>0</v>
      </c>
      <c r="I195" s="1" t="s">
        <v>785</v>
      </c>
      <c r="J195" s="1" t="s">
        <v>786</v>
      </c>
      <c r="K195" s="1" t="s">
        <v>827</v>
      </c>
      <c r="L195" s="1" t="s">
        <v>646</v>
      </c>
      <c r="M195" s="2">
        <v>21.75</v>
      </c>
      <c r="N195" s="34" t="s">
        <v>7</v>
      </c>
      <c r="O195" s="34" t="str">
        <f>IF(ISNUMBER(SEARCH("IMS",PMS_Catalog[[#This Row],[WU Id]])),"IMS",PMS_Catalog[[#This Row],[UNIQUE PRICE per hour]]*PMS_Catalog[[#This Row],[PMS Effort (Hours)]])</f>
        <v>IMS</v>
      </c>
      <c r="P195" s="34">
        <v>7</v>
      </c>
      <c r="Q195" s="53" t="s">
        <v>88</v>
      </c>
      <c r="R195" s="1" t="s">
        <v>89</v>
      </c>
      <c r="S195" s="1"/>
      <c r="T195" s="31">
        <v>44768</v>
      </c>
      <c r="U195" s="1" t="s">
        <v>90</v>
      </c>
      <c r="V195" s="31">
        <v>44652</v>
      </c>
      <c r="W195" s="1">
        <f t="shared" ca="1" si="6"/>
        <v>4</v>
      </c>
      <c r="X195" s="1" cm="1">
        <f t="array" aca="1" ref="X195" ca="1">_xlfn.IFS(W194=1,8%,W194=2,10%,W194&gt;2,10%,W194&lt;1,0)</f>
        <v>0.1</v>
      </c>
      <c r="Y195" s="35" t="str">
        <f t="shared" si="7"/>
        <v>IMS</v>
      </c>
      <c r="Z195" s="40"/>
      <c r="AA195" s="1" t="str">
        <f>LEFT(PMS_Catalog[[#This Row],[WU Id]],3)</f>
        <v>IMS</v>
      </c>
    </row>
    <row r="196" spans="1:27" ht="39" customHeight="1">
      <c r="A196" s="1" t="s">
        <v>828</v>
      </c>
      <c r="B196" s="1" t="s">
        <v>78</v>
      </c>
      <c r="C196" s="1" t="s">
        <v>131</v>
      </c>
      <c r="D196" s="1" t="s">
        <v>406</v>
      </c>
      <c r="E196" s="1" t="s">
        <v>774</v>
      </c>
      <c r="F196" s="13" t="s">
        <v>140</v>
      </c>
      <c r="G196" s="21" t="s">
        <v>826</v>
      </c>
      <c r="H196" s="21">
        <v>0</v>
      </c>
      <c r="I196" s="1" t="s">
        <v>785</v>
      </c>
      <c r="J196" s="1" t="s">
        <v>786</v>
      </c>
      <c r="K196" s="1" t="s">
        <v>829</v>
      </c>
      <c r="L196" s="1" t="s">
        <v>646</v>
      </c>
      <c r="M196" s="2">
        <v>21.75</v>
      </c>
      <c r="N196" s="34" t="s">
        <v>7</v>
      </c>
      <c r="O196" s="34" t="str">
        <f>IF(ISNUMBER(SEARCH("IMS",PMS_Catalog[[#This Row],[WU Id]])),"IMS",PMS_Catalog[[#This Row],[UNIQUE PRICE per hour]]*PMS_Catalog[[#This Row],[PMS Effort (Hours)]])</f>
        <v>IMS</v>
      </c>
      <c r="P196" s="34">
        <v>7</v>
      </c>
      <c r="Q196" s="53" t="s">
        <v>88</v>
      </c>
      <c r="R196" s="1" t="s">
        <v>89</v>
      </c>
      <c r="S196" s="1"/>
      <c r="T196" s="31">
        <v>44768</v>
      </c>
      <c r="U196" s="1" t="s">
        <v>90</v>
      </c>
      <c r="V196" s="31">
        <v>44652</v>
      </c>
      <c r="W196" s="1">
        <f t="shared" ca="1" si="6"/>
        <v>4</v>
      </c>
      <c r="X196" s="1" cm="1">
        <f t="array" aca="1" ref="X196" ca="1">_xlfn.IFS(W195=1,8%,W195=2,10%,W195&gt;2,10%,W195&lt;1,0)</f>
        <v>0.1</v>
      </c>
      <c r="Y196" s="35" t="str">
        <f t="shared" si="7"/>
        <v>IMS</v>
      </c>
      <c r="Z196" s="40"/>
      <c r="AA196" s="1" t="str">
        <f>LEFT(PMS_Catalog[[#This Row],[WU Id]],3)</f>
        <v>IMS</v>
      </c>
    </row>
    <row r="197" spans="1:27" ht="39" customHeight="1">
      <c r="A197" s="1" t="s">
        <v>830</v>
      </c>
      <c r="B197" s="1" t="s">
        <v>78</v>
      </c>
      <c r="C197" s="1" t="s">
        <v>131</v>
      </c>
      <c r="D197" s="1" t="s">
        <v>406</v>
      </c>
      <c r="E197" s="1" t="s">
        <v>776</v>
      </c>
      <c r="F197" s="13" t="s">
        <v>140</v>
      </c>
      <c r="G197" s="21" t="s">
        <v>826</v>
      </c>
      <c r="H197" s="21">
        <v>0</v>
      </c>
      <c r="I197" s="1" t="s">
        <v>785</v>
      </c>
      <c r="J197" s="1" t="s">
        <v>786</v>
      </c>
      <c r="K197" s="1" t="s">
        <v>829</v>
      </c>
      <c r="L197" s="1" t="s">
        <v>646</v>
      </c>
      <c r="M197" s="2">
        <v>21.75</v>
      </c>
      <c r="N197" s="34" t="s">
        <v>7</v>
      </c>
      <c r="O197" s="34" t="str">
        <f>IF(ISNUMBER(SEARCH("IMS",PMS_Catalog[[#This Row],[WU Id]])),"IMS",PMS_Catalog[[#This Row],[UNIQUE PRICE per hour]]*PMS_Catalog[[#This Row],[PMS Effort (Hours)]])</f>
        <v>IMS</v>
      </c>
      <c r="P197" s="34">
        <v>7</v>
      </c>
      <c r="Q197" s="53" t="s">
        <v>88</v>
      </c>
      <c r="R197" s="1" t="s">
        <v>89</v>
      </c>
      <c r="S197" s="1"/>
      <c r="T197" s="31">
        <v>44768</v>
      </c>
      <c r="U197" s="1" t="s">
        <v>90</v>
      </c>
      <c r="V197" s="31">
        <v>44652</v>
      </c>
      <c r="W197" s="1">
        <f t="shared" ca="1" si="6"/>
        <v>4</v>
      </c>
      <c r="X197" s="1" cm="1">
        <f t="array" aca="1" ref="X197" ca="1">_xlfn.IFS(W196=1,8%,W196=2,10%,W196&gt;2,10%,W196&lt;1,0)</f>
        <v>0.1</v>
      </c>
      <c r="Y197" s="35" t="str">
        <f t="shared" si="7"/>
        <v>IMS</v>
      </c>
      <c r="Z197" s="40"/>
      <c r="AA197" s="1" t="str">
        <f>LEFT(PMS_Catalog[[#This Row],[WU Id]],3)</f>
        <v>IMS</v>
      </c>
    </row>
    <row r="198" spans="1:27" ht="39" customHeight="1">
      <c r="A198" s="1" t="s">
        <v>831</v>
      </c>
      <c r="B198" s="1" t="s">
        <v>78</v>
      </c>
      <c r="C198" s="1" t="s">
        <v>92</v>
      </c>
      <c r="D198" s="1" t="s">
        <v>170</v>
      </c>
      <c r="E198" s="1" t="s">
        <v>642</v>
      </c>
      <c r="F198" s="13" t="s">
        <v>140</v>
      </c>
      <c r="G198" s="21" t="s">
        <v>826</v>
      </c>
      <c r="H198" s="21">
        <v>0</v>
      </c>
      <c r="I198" s="1" t="s">
        <v>785</v>
      </c>
      <c r="J198" s="1" t="s">
        <v>786</v>
      </c>
      <c r="K198" s="1" t="s">
        <v>832</v>
      </c>
      <c r="L198" s="1" t="s">
        <v>518</v>
      </c>
      <c r="M198" s="2">
        <v>21.75</v>
      </c>
      <c r="N198" s="34" t="s">
        <v>7</v>
      </c>
      <c r="O198" s="34" t="str">
        <f>IF(ISNUMBER(SEARCH("IMS",PMS_Catalog[[#This Row],[WU Id]])),"IMS",PMS_Catalog[[#This Row],[UNIQUE PRICE per hour]]*PMS_Catalog[[#This Row],[PMS Effort (Hours)]])</f>
        <v>IMS</v>
      </c>
      <c r="P198" s="34">
        <v>7</v>
      </c>
      <c r="Q198" s="53" t="s">
        <v>88</v>
      </c>
      <c r="R198" s="1" t="s">
        <v>89</v>
      </c>
      <c r="S198" s="1"/>
      <c r="T198" s="31">
        <v>44768</v>
      </c>
      <c r="U198" s="1" t="s">
        <v>90</v>
      </c>
      <c r="V198" s="31">
        <v>44652</v>
      </c>
      <c r="W198" s="1">
        <f t="shared" ca="1" si="6"/>
        <v>4</v>
      </c>
      <c r="X198" s="1" cm="1">
        <f t="array" aca="1" ref="X198" ca="1">_xlfn.IFS(W197=1,8%,W197=2,10%,W197&gt;2,10%,W197&lt;1,0)</f>
        <v>0.1</v>
      </c>
      <c r="Y198" s="35" t="str">
        <f t="shared" si="7"/>
        <v>IMS</v>
      </c>
      <c r="Z198" s="40"/>
      <c r="AA198" s="1" t="str">
        <f>LEFT(PMS_Catalog[[#This Row],[WU Id]],3)</f>
        <v>IMS</v>
      </c>
    </row>
    <row r="199" spans="1:27" ht="39" customHeight="1">
      <c r="A199" s="1" t="s">
        <v>833</v>
      </c>
      <c r="B199" s="1" t="s">
        <v>78</v>
      </c>
      <c r="C199" s="1" t="s">
        <v>131</v>
      </c>
      <c r="D199" s="1" t="s">
        <v>170</v>
      </c>
      <c r="E199" s="1" t="s">
        <v>780</v>
      </c>
      <c r="F199" s="13" t="s">
        <v>140</v>
      </c>
      <c r="G199" s="21" t="s">
        <v>826</v>
      </c>
      <c r="H199" s="21">
        <v>0</v>
      </c>
      <c r="I199" s="1" t="s">
        <v>785</v>
      </c>
      <c r="J199" s="1" t="s">
        <v>786</v>
      </c>
      <c r="K199" s="1" t="s">
        <v>834</v>
      </c>
      <c r="L199" s="1" t="s">
        <v>518</v>
      </c>
      <c r="M199" s="2">
        <v>21.75</v>
      </c>
      <c r="N199" s="34" t="s">
        <v>7</v>
      </c>
      <c r="O199" s="34" t="str">
        <f>IF(ISNUMBER(SEARCH("IMS",PMS_Catalog[[#This Row],[WU Id]])),"IMS",PMS_Catalog[[#This Row],[UNIQUE PRICE per hour]]*PMS_Catalog[[#This Row],[PMS Effort (Hours)]])</f>
        <v>IMS</v>
      </c>
      <c r="P199" s="34">
        <v>7</v>
      </c>
      <c r="Q199" s="53" t="s">
        <v>88</v>
      </c>
      <c r="R199" s="1" t="s">
        <v>89</v>
      </c>
      <c r="S199" s="1"/>
      <c r="T199" s="31">
        <v>44768</v>
      </c>
      <c r="U199" s="1" t="s">
        <v>90</v>
      </c>
      <c r="V199" s="31">
        <v>44652</v>
      </c>
      <c r="W199" s="1">
        <f t="shared" ca="1" si="6"/>
        <v>4</v>
      </c>
      <c r="X199" s="1" cm="1">
        <f t="array" aca="1" ref="X199" ca="1">_xlfn.IFS(W198=1,8%,W198=2,10%,W198&gt;2,10%,W198&lt;1,0)</f>
        <v>0.1</v>
      </c>
      <c r="Y199" s="35" t="str">
        <f t="shared" si="7"/>
        <v>IMS</v>
      </c>
      <c r="Z199" s="40"/>
      <c r="AA199" s="1" t="str">
        <f>LEFT(PMS_Catalog[[#This Row],[WU Id]],3)</f>
        <v>IMS</v>
      </c>
    </row>
    <row r="200" spans="1:27" ht="39" customHeight="1">
      <c r="A200" s="1" t="s">
        <v>835</v>
      </c>
      <c r="B200" s="1" t="s">
        <v>78</v>
      </c>
      <c r="C200" s="1" t="s">
        <v>131</v>
      </c>
      <c r="D200" s="1" t="s">
        <v>170</v>
      </c>
      <c r="E200" s="1" t="s">
        <v>782</v>
      </c>
      <c r="F200" s="13" t="s">
        <v>140</v>
      </c>
      <c r="G200" s="21" t="s">
        <v>826</v>
      </c>
      <c r="H200" s="21">
        <v>0</v>
      </c>
      <c r="I200" s="1" t="s">
        <v>785</v>
      </c>
      <c r="J200" s="1" t="s">
        <v>786</v>
      </c>
      <c r="K200" s="1" t="s">
        <v>834</v>
      </c>
      <c r="L200" s="1" t="s">
        <v>518</v>
      </c>
      <c r="M200" s="2">
        <v>21.75</v>
      </c>
      <c r="N200" s="34" t="s">
        <v>7</v>
      </c>
      <c r="O200" s="34" t="str">
        <f>IF(ISNUMBER(SEARCH("IMS",PMS_Catalog[[#This Row],[WU Id]])),"IMS",PMS_Catalog[[#This Row],[UNIQUE PRICE per hour]]*PMS_Catalog[[#This Row],[PMS Effort (Hours)]])</f>
        <v>IMS</v>
      </c>
      <c r="P200" s="34">
        <v>7</v>
      </c>
      <c r="Q200" s="53" t="s">
        <v>88</v>
      </c>
      <c r="R200" s="1" t="s">
        <v>89</v>
      </c>
      <c r="S200" s="1"/>
      <c r="T200" s="31">
        <v>44768</v>
      </c>
      <c r="U200" s="1" t="s">
        <v>90</v>
      </c>
      <c r="V200" s="31">
        <v>44652</v>
      </c>
      <c r="W200" s="1">
        <f t="shared" ca="1" si="6"/>
        <v>4</v>
      </c>
      <c r="X200" s="1" cm="1">
        <f t="array" aca="1" ref="X200" ca="1">_xlfn.IFS(W199=1,8%,W199=2,10%,W199&gt;2,10%,W199&lt;1,0)</f>
        <v>0.1</v>
      </c>
      <c r="Y200" s="35" t="str">
        <f t="shared" si="7"/>
        <v>IMS</v>
      </c>
      <c r="Z200" s="40"/>
      <c r="AA200" s="1" t="str">
        <f>LEFT(PMS_Catalog[[#This Row],[WU Id]],3)</f>
        <v>IMS</v>
      </c>
    </row>
    <row r="201" spans="1:27" ht="39" customHeight="1">
      <c r="A201" s="1" t="s">
        <v>836</v>
      </c>
      <c r="B201" s="1" t="s">
        <v>78</v>
      </c>
      <c r="C201" s="1" t="s">
        <v>92</v>
      </c>
      <c r="D201" s="1" t="s">
        <v>406</v>
      </c>
      <c r="E201" s="1" t="s">
        <v>406</v>
      </c>
      <c r="F201" s="13" t="s">
        <v>81</v>
      </c>
      <c r="G201" s="21" t="s">
        <v>837</v>
      </c>
      <c r="H201" s="21">
        <v>0</v>
      </c>
      <c r="I201" s="1" t="s">
        <v>89</v>
      </c>
      <c r="J201" s="1" t="s">
        <v>89</v>
      </c>
      <c r="K201" s="1" t="s">
        <v>838</v>
      </c>
      <c r="L201" s="1" t="s">
        <v>518</v>
      </c>
      <c r="M201" s="2">
        <v>21.75</v>
      </c>
      <c r="N201" s="34" t="s">
        <v>7</v>
      </c>
      <c r="O201" s="34" t="str">
        <f>IF(ISNUMBER(SEARCH("IMS",PMS_Catalog[[#This Row],[WU Id]])),"IMS",PMS_Catalog[[#This Row],[UNIQUE PRICE per hour]]*PMS_Catalog[[#This Row],[PMS Effort (Hours)]])</f>
        <v>IMS</v>
      </c>
      <c r="P201" s="34" t="s">
        <v>99</v>
      </c>
      <c r="Q201" s="53" t="s">
        <v>88</v>
      </c>
      <c r="R201" s="1" t="s">
        <v>89</v>
      </c>
      <c r="S201" s="1"/>
      <c r="T201" s="31">
        <v>44768</v>
      </c>
      <c r="U201" s="1" t="s">
        <v>90</v>
      </c>
      <c r="V201" s="31">
        <v>44652</v>
      </c>
      <c r="W201" s="1">
        <f t="shared" ca="1" si="6"/>
        <v>4</v>
      </c>
      <c r="X201" s="1" cm="1">
        <f t="array" aca="1" ref="X201" ca="1">_xlfn.IFS(W200=1,8%,W200=2,10%,W200&gt;2,10%,W200&lt;1,0)</f>
        <v>0.1</v>
      </c>
      <c r="Y201" s="35" t="str">
        <f t="shared" si="7"/>
        <v>IMS</v>
      </c>
      <c r="Z201" s="40"/>
      <c r="AA201" s="1" t="str">
        <f>LEFT(PMS_Catalog[[#This Row],[WU Id]],3)</f>
        <v>IMS</v>
      </c>
    </row>
    <row r="202" spans="1:27" ht="39" customHeight="1">
      <c r="A202" s="1" t="s">
        <v>839</v>
      </c>
      <c r="B202" s="1" t="s">
        <v>78</v>
      </c>
      <c r="C202" s="1" t="s">
        <v>92</v>
      </c>
      <c r="D202" s="1" t="s">
        <v>406</v>
      </c>
      <c r="E202" s="1" t="s">
        <v>407</v>
      </c>
      <c r="F202" s="13" t="s">
        <v>408</v>
      </c>
      <c r="G202" s="21" t="s">
        <v>840</v>
      </c>
      <c r="H202" s="21">
        <v>0</v>
      </c>
      <c r="I202" s="1" t="s">
        <v>411</v>
      </c>
      <c r="J202" s="1" t="s">
        <v>412</v>
      </c>
      <c r="K202" s="1" t="s">
        <v>89</v>
      </c>
      <c r="L202" s="1" t="s">
        <v>413</v>
      </c>
      <c r="M202" s="2">
        <v>21.75</v>
      </c>
      <c r="N202" s="34" t="s">
        <v>7</v>
      </c>
      <c r="O202" s="34" t="str">
        <f>IF(ISNUMBER(SEARCH("IMS",PMS_Catalog[[#This Row],[WU Id]])),"IMS",PMS_Catalog[[#This Row],[UNIQUE PRICE per hour]]*PMS_Catalog[[#This Row],[PMS Effort (Hours)]])</f>
        <v>IMS</v>
      </c>
      <c r="P202" s="34">
        <v>2</v>
      </c>
      <c r="Q202" s="53" t="s">
        <v>88</v>
      </c>
      <c r="R202" s="1" t="s">
        <v>89</v>
      </c>
      <c r="S202" s="1"/>
      <c r="T202" s="31">
        <v>44768</v>
      </c>
      <c r="U202" s="1" t="s">
        <v>90</v>
      </c>
      <c r="V202" s="31">
        <v>44652</v>
      </c>
      <c r="W202" s="1">
        <f t="shared" ca="1" si="6"/>
        <v>4</v>
      </c>
      <c r="X202" s="1" cm="1">
        <f t="array" aca="1" ref="X202" ca="1">_xlfn.IFS(W201=1,8%,W201=2,10%,W201&gt;2,10%,W201&lt;1,0)</f>
        <v>0.1</v>
      </c>
      <c r="Y202" s="35" t="str">
        <f t="shared" si="7"/>
        <v>IMS</v>
      </c>
      <c r="Z202" s="40"/>
      <c r="AA202" s="1" t="str">
        <f>LEFT(PMS_Catalog[[#This Row],[WU Id]],3)</f>
        <v>IMS</v>
      </c>
    </row>
    <row r="203" spans="1:27" ht="39" customHeight="1">
      <c r="A203" s="1" t="s">
        <v>841</v>
      </c>
      <c r="B203" s="1" t="s">
        <v>78</v>
      </c>
      <c r="C203" s="1" t="s">
        <v>131</v>
      </c>
      <c r="D203" s="1" t="s">
        <v>406</v>
      </c>
      <c r="E203" s="1" t="s">
        <v>407</v>
      </c>
      <c r="F203" s="13" t="s">
        <v>408</v>
      </c>
      <c r="G203" s="21" t="s">
        <v>409</v>
      </c>
      <c r="H203" s="21">
        <v>0</v>
      </c>
      <c r="I203" s="1" t="s">
        <v>411</v>
      </c>
      <c r="J203" s="1" t="s">
        <v>412</v>
      </c>
      <c r="K203" s="1" t="s">
        <v>89</v>
      </c>
      <c r="L203" s="1" t="s">
        <v>413</v>
      </c>
      <c r="M203" s="2">
        <v>21.75</v>
      </c>
      <c r="N203" s="34" t="s">
        <v>7</v>
      </c>
      <c r="O203" s="34" t="str">
        <f>IF(ISNUMBER(SEARCH("IMS",PMS_Catalog[[#This Row],[WU Id]])),"IMS",PMS_Catalog[[#This Row],[UNIQUE PRICE per hour]]*PMS_Catalog[[#This Row],[PMS Effort (Hours)]])</f>
        <v>IMS</v>
      </c>
      <c r="P203" s="34">
        <v>2</v>
      </c>
      <c r="Q203" s="53" t="s">
        <v>88</v>
      </c>
      <c r="R203" s="1" t="s">
        <v>89</v>
      </c>
      <c r="S203" s="1"/>
      <c r="T203" s="31">
        <v>44768</v>
      </c>
      <c r="U203" s="1" t="s">
        <v>90</v>
      </c>
      <c r="V203" s="31">
        <v>44652</v>
      </c>
      <c r="W203" s="1">
        <f t="shared" ca="1" si="6"/>
        <v>4</v>
      </c>
      <c r="X203" s="1" cm="1">
        <f t="array" aca="1" ref="X203" ca="1">_xlfn.IFS(W202=1,8%,W202=2,10%,W202&gt;2,10%,W202&lt;1,0)</f>
        <v>0.1</v>
      </c>
      <c r="Y203" s="35" t="str">
        <f t="shared" si="7"/>
        <v>IMS</v>
      </c>
      <c r="Z203" s="40"/>
      <c r="AA203" s="1" t="str">
        <f>LEFT(PMS_Catalog[[#This Row],[WU Id]],3)</f>
        <v>IMS</v>
      </c>
    </row>
    <row r="204" spans="1:27" ht="39" customHeight="1">
      <c r="A204" s="1" t="s">
        <v>842</v>
      </c>
      <c r="B204" s="1" t="s">
        <v>78</v>
      </c>
      <c r="C204" s="1" t="s">
        <v>131</v>
      </c>
      <c r="D204" s="1" t="s">
        <v>406</v>
      </c>
      <c r="E204" s="1" t="s">
        <v>407</v>
      </c>
      <c r="F204" s="13" t="s">
        <v>408</v>
      </c>
      <c r="G204" s="21" t="s">
        <v>840</v>
      </c>
      <c r="H204" s="21">
        <v>0</v>
      </c>
      <c r="I204" s="1" t="s">
        <v>411</v>
      </c>
      <c r="J204" s="1" t="s">
        <v>412</v>
      </c>
      <c r="K204" s="1" t="s">
        <v>89</v>
      </c>
      <c r="L204" s="1" t="s">
        <v>413</v>
      </c>
      <c r="M204" s="2">
        <v>21.75</v>
      </c>
      <c r="N204" s="34" t="s">
        <v>7</v>
      </c>
      <c r="O204" s="34" t="str">
        <f>IF(ISNUMBER(SEARCH("IMS",PMS_Catalog[[#This Row],[WU Id]])),"IMS",PMS_Catalog[[#This Row],[UNIQUE PRICE per hour]]*PMS_Catalog[[#This Row],[PMS Effort (Hours)]])</f>
        <v>IMS</v>
      </c>
      <c r="P204" s="34">
        <v>2</v>
      </c>
      <c r="Q204" s="53" t="s">
        <v>88</v>
      </c>
      <c r="R204" s="1" t="s">
        <v>89</v>
      </c>
      <c r="S204" s="1"/>
      <c r="T204" s="31">
        <v>44768</v>
      </c>
      <c r="U204" s="1" t="s">
        <v>90</v>
      </c>
      <c r="V204" s="31">
        <v>44652</v>
      </c>
      <c r="W204" s="1">
        <f t="shared" ca="1" si="6"/>
        <v>4</v>
      </c>
      <c r="X204" s="1" cm="1">
        <f t="array" aca="1" ref="X204" ca="1">_xlfn.IFS(W203=1,8%,W203=2,10%,W203&gt;2,10%,W203&lt;1,0)</f>
        <v>0.1</v>
      </c>
      <c r="Y204" s="35" t="str">
        <f t="shared" si="7"/>
        <v>IMS</v>
      </c>
      <c r="Z204" s="40"/>
      <c r="AA204" s="1" t="str">
        <f>LEFT(PMS_Catalog[[#This Row],[WU Id]],3)</f>
        <v>IMS</v>
      </c>
    </row>
    <row r="205" spans="1:27" ht="39" customHeight="1">
      <c r="A205" s="1" t="s">
        <v>843</v>
      </c>
      <c r="B205" s="1" t="s">
        <v>78</v>
      </c>
      <c r="C205" s="1" t="s">
        <v>78</v>
      </c>
      <c r="D205" s="1" t="s">
        <v>406</v>
      </c>
      <c r="E205" s="1" t="s">
        <v>407</v>
      </c>
      <c r="F205" s="13" t="s">
        <v>599</v>
      </c>
      <c r="G205" s="21" t="s">
        <v>415</v>
      </c>
      <c r="H205" s="21">
        <v>0</v>
      </c>
      <c r="I205" s="1" t="s">
        <v>89</v>
      </c>
      <c r="J205" s="1" t="s">
        <v>89</v>
      </c>
      <c r="K205" s="1" t="s">
        <v>416</v>
      </c>
      <c r="L205" s="1" t="s">
        <v>413</v>
      </c>
      <c r="M205" s="2">
        <v>21.75</v>
      </c>
      <c r="N205" s="34" t="s">
        <v>7</v>
      </c>
      <c r="O205" s="34" t="str">
        <f>IF(ISNUMBER(SEARCH("IMS",PMS_Catalog[[#This Row],[WU Id]])),"IMS",PMS_Catalog[[#This Row],[UNIQUE PRICE per hour]]*PMS_Catalog[[#This Row],[PMS Effort (Hours)]])</f>
        <v>IMS</v>
      </c>
      <c r="P205" s="34" t="s">
        <v>99</v>
      </c>
      <c r="Q205" s="53" t="s">
        <v>88</v>
      </c>
      <c r="R205" s="1" t="s">
        <v>89</v>
      </c>
      <c r="S205" s="1"/>
      <c r="T205" s="31">
        <v>44768</v>
      </c>
      <c r="U205" s="1" t="s">
        <v>90</v>
      </c>
      <c r="V205" s="31">
        <v>44652</v>
      </c>
      <c r="W205" s="1">
        <f t="shared" ca="1" si="6"/>
        <v>4</v>
      </c>
      <c r="X205" s="1" cm="1">
        <f t="array" aca="1" ref="X205" ca="1">_xlfn.IFS(W204=1,8%,W204=2,10%,W204&gt;2,10%,W204&lt;1,0)</f>
        <v>0.1</v>
      </c>
      <c r="Y205" s="35" t="str">
        <f t="shared" si="7"/>
        <v>IMS</v>
      </c>
      <c r="Z205" s="40"/>
      <c r="AA205" s="1" t="str">
        <f>LEFT(PMS_Catalog[[#This Row],[WU Id]],3)</f>
        <v>IMS</v>
      </c>
    </row>
    <row r="206" spans="1:27" ht="39" customHeight="1">
      <c r="A206" s="4" t="s">
        <v>844</v>
      </c>
      <c r="B206" s="4" t="s">
        <v>78</v>
      </c>
      <c r="C206" s="4" t="s">
        <v>92</v>
      </c>
      <c r="D206" s="4" t="s">
        <v>450</v>
      </c>
      <c r="E206" s="4" t="s">
        <v>451</v>
      </c>
      <c r="F206" s="14" t="s">
        <v>81</v>
      </c>
      <c r="G206" s="21" t="s">
        <v>845</v>
      </c>
      <c r="H206" s="21" t="s">
        <v>846</v>
      </c>
      <c r="I206" s="4" t="s">
        <v>454</v>
      </c>
      <c r="J206" s="74" t="s">
        <v>455</v>
      </c>
      <c r="K206" s="4" t="s">
        <v>89</v>
      </c>
      <c r="L206" s="4" t="s">
        <v>89</v>
      </c>
      <c r="M206" s="21">
        <v>21.75</v>
      </c>
      <c r="N206" s="34" t="s">
        <v>7</v>
      </c>
      <c r="O206" s="34" t="str">
        <f>IF(ISNUMBER(SEARCH("IMS",PMS_Catalog[[#This Row],[WU Id]])),"IMS",PMS_Catalog[[#This Row],[UNIQUE PRICE per hour]]*PMS_Catalog[[#This Row],[PMS Effort (Hours)]])</f>
        <v>IMS</v>
      </c>
      <c r="P206" s="34" t="s">
        <v>458</v>
      </c>
      <c r="Q206" s="53" t="s">
        <v>88</v>
      </c>
      <c r="R206" s="1" t="s">
        <v>89</v>
      </c>
      <c r="S206" s="1"/>
      <c r="T206" s="31">
        <v>44768</v>
      </c>
      <c r="U206" s="1" t="s">
        <v>90</v>
      </c>
      <c r="V206" s="31">
        <v>44652</v>
      </c>
      <c r="W206" s="1">
        <f t="shared" ca="1" si="6"/>
        <v>4</v>
      </c>
      <c r="X206" s="1" cm="1">
        <f t="array" aca="1" ref="X206" ca="1">_xlfn.IFS(W205=1,8%,W205=2,10%,W205&gt;2,10%,W205&lt;1,0)</f>
        <v>0.1</v>
      </c>
      <c r="Y206" s="35" t="str">
        <f t="shared" si="7"/>
        <v>IMS</v>
      </c>
      <c r="Z206" s="40"/>
      <c r="AA206" s="1" t="str">
        <f>LEFT(PMS_Catalog[[#This Row],[WU Id]],3)</f>
        <v>IMS</v>
      </c>
    </row>
    <row r="207" spans="1:27" ht="39" customHeight="1">
      <c r="A207" s="4" t="s">
        <v>847</v>
      </c>
      <c r="B207" s="4" t="s">
        <v>78</v>
      </c>
      <c r="C207" s="4" t="s">
        <v>92</v>
      </c>
      <c r="D207" s="4" t="s">
        <v>450</v>
      </c>
      <c r="E207" s="4" t="s">
        <v>451</v>
      </c>
      <c r="F207" s="14" t="s">
        <v>134</v>
      </c>
      <c r="G207" s="21" t="s">
        <v>848</v>
      </c>
      <c r="H207" s="21">
        <v>0</v>
      </c>
      <c r="I207" s="4" t="s">
        <v>454</v>
      </c>
      <c r="J207" s="4" t="s">
        <v>455</v>
      </c>
      <c r="K207" s="4" t="s">
        <v>89</v>
      </c>
      <c r="L207" s="4" t="s">
        <v>89</v>
      </c>
      <c r="M207" s="21">
        <v>21.75</v>
      </c>
      <c r="N207" s="34" t="s">
        <v>7</v>
      </c>
      <c r="O207" s="34" t="str">
        <f>IF(ISNUMBER(SEARCH("IMS",PMS_Catalog[[#This Row],[WU Id]])),"IMS",PMS_Catalog[[#This Row],[UNIQUE PRICE per hour]]*PMS_Catalog[[#This Row],[PMS Effort (Hours)]])</f>
        <v>IMS</v>
      </c>
      <c r="P207" s="34">
        <v>2</v>
      </c>
      <c r="Q207" s="53" t="s">
        <v>88</v>
      </c>
      <c r="R207" s="1" t="s">
        <v>89</v>
      </c>
      <c r="S207" s="1"/>
      <c r="T207" s="31">
        <v>44768</v>
      </c>
      <c r="U207" s="1" t="s">
        <v>90</v>
      </c>
      <c r="V207" s="31">
        <v>44652</v>
      </c>
      <c r="W207" s="1">
        <f t="shared" ca="1" si="6"/>
        <v>4</v>
      </c>
      <c r="X207" s="1" cm="1">
        <f t="array" aca="1" ref="X207" ca="1">_xlfn.IFS(W206=1,8%,W206=2,10%,W206&gt;2,10%,W206&lt;1,0)</f>
        <v>0.1</v>
      </c>
      <c r="Y207" s="35" t="str">
        <f t="shared" si="7"/>
        <v>IMS</v>
      </c>
      <c r="Z207" s="40"/>
      <c r="AA207" s="1" t="str">
        <f>LEFT(PMS_Catalog[[#This Row],[WU Id]],3)</f>
        <v>IMS</v>
      </c>
    </row>
    <row r="208" spans="1:27" ht="39" customHeight="1">
      <c r="A208" s="4" t="s">
        <v>849</v>
      </c>
      <c r="B208" s="4" t="s">
        <v>78</v>
      </c>
      <c r="C208" s="4" t="s">
        <v>92</v>
      </c>
      <c r="D208" s="4" t="s">
        <v>450</v>
      </c>
      <c r="E208" s="4" t="s">
        <v>451</v>
      </c>
      <c r="F208" s="13" t="s">
        <v>140</v>
      </c>
      <c r="G208" s="21" t="s">
        <v>850</v>
      </c>
      <c r="H208" s="21">
        <v>0</v>
      </c>
      <c r="I208" s="4" t="s">
        <v>454</v>
      </c>
      <c r="J208" s="4" t="s">
        <v>455</v>
      </c>
      <c r="K208" s="4" t="s">
        <v>89</v>
      </c>
      <c r="L208" s="4" t="s">
        <v>89</v>
      </c>
      <c r="M208" s="21">
        <v>21.75</v>
      </c>
      <c r="N208" s="34" t="s">
        <v>7</v>
      </c>
      <c r="O208" s="34" t="str">
        <f>IF(ISNUMBER(SEARCH("IMS",PMS_Catalog[[#This Row],[WU Id]])),"IMS",PMS_Catalog[[#This Row],[UNIQUE PRICE per hour]]*PMS_Catalog[[#This Row],[PMS Effort (Hours)]])</f>
        <v>IMS</v>
      </c>
      <c r="P208" s="34" t="s">
        <v>458</v>
      </c>
      <c r="Q208" s="53" t="s">
        <v>88</v>
      </c>
      <c r="R208" s="1" t="s">
        <v>89</v>
      </c>
      <c r="S208" s="1"/>
      <c r="T208" s="31">
        <v>44768</v>
      </c>
      <c r="U208" s="1" t="s">
        <v>90</v>
      </c>
      <c r="V208" s="31">
        <v>44652</v>
      </c>
      <c r="W208" s="1">
        <f t="shared" ca="1" si="6"/>
        <v>4</v>
      </c>
      <c r="X208" s="1" cm="1">
        <f t="array" aca="1" ref="X208" ca="1">_xlfn.IFS(W207=1,8%,W207=2,10%,W207&gt;2,10%,W207&lt;1,0)</f>
        <v>0.1</v>
      </c>
      <c r="Y208" s="35" t="str">
        <f t="shared" si="7"/>
        <v>IMS</v>
      </c>
      <c r="Z208" s="40"/>
      <c r="AA208" s="1" t="str">
        <f>LEFT(PMS_Catalog[[#This Row],[WU Id]],3)</f>
        <v>IMS</v>
      </c>
    </row>
    <row r="209" spans="1:16358" ht="39" customHeight="1">
      <c r="A209" s="4" t="s">
        <v>851</v>
      </c>
      <c r="B209" s="4" t="s">
        <v>78</v>
      </c>
      <c r="C209" s="4" t="s">
        <v>92</v>
      </c>
      <c r="D209" s="4" t="s">
        <v>450</v>
      </c>
      <c r="E209" s="4" t="s">
        <v>451</v>
      </c>
      <c r="F209" s="14" t="s">
        <v>422</v>
      </c>
      <c r="G209" s="21" t="s">
        <v>852</v>
      </c>
      <c r="H209" s="21">
        <v>0</v>
      </c>
      <c r="I209" s="4" t="s">
        <v>454</v>
      </c>
      <c r="J209" s="4" t="s">
        <v>455</v>
      </c>
      <c r="K209" s="4" t="s">
        <v>89</v>
      </c>
      <c r="L209" s="4" t="s">
        <v>89</v>
      </c>
      <c r="M209" s="21">
        <v>21.75</v>
      </c>
      <c r="N209" s="34" t="s">
        <v>7</v>
      </c>
      <c r="O209" s="34" t="str">
        <f>IF(ISNUMBER(SEARCH("IMS",PMS_Catalog[[#This Row],[WU Id]])),"IMS",PMS_Catalog[[#This Row],[UNIQUE PRICE per hour]]*PMS_Catalog[[#This Row],[PMS Effort (Hours)]])</f>
        <v>IMS</v>
      </c>
      <c r="P209" s="34">
        <v>2</v>
      </c>
      <c r="Q209" s="53" t="s">
        <v>88</v>
      </c>
      <c r="R209" s="1" t="s">
        <v>89</v>
      </c>
      <c r="S209" s="1"/>
      <c r="T209" s="31">
        <v>44768</v>
      </c>
      <c r="U209" s="1" t="s">
        <v>90</v>
      </c>
      <c r="V209" s="31">
        <v>44652</v>
      </c>
      <c r="W209" s="1">
        <f t="shared" ca="1" si="6"/>
        <v>4</v>
      </c>
      <c r="X209" s="1" cm="1">
        <f t="array" aca="1" ref="X209" ca="1">_xlfn.IFS(W208=1,8%,W208=2,10%,W208&gt;2,10%,W208&lt;1,0)</f>
        <v>0.1</v>
      </c>
      <c r="Y209" s="35" t="str">
        <f t="shared" si="7"/>
        <v>IMS</v>
      </c>
      <c r="Z209" s="40"/>
      <c r="AA209" s="1" t="str">
        <f>LEFT(PMS_Catalog[[#This Row],[WU Id]],3)</f>
        <v>IMS</v>
      </c>
    </row>
    <row r="210" spans="1:16358" s="54" customFormat="1" ht="39" customHeight="1">
      <c r="A210" s="4" t="s">
        <v>853</v>
      </c>
      <c r="B210" s="4" t="s">
        <v>78</v>
      </c>
      <c r="C210" s="4" t="s">
        <v>79</v>
      </c>
      <c r="D210" s="4" t="s">
        <v>80</v>
      </c>
      <c r="E210" s="1" t="s">
        <v>80</v>
      </c>
      <c r="F210" s="14" t="s">
        <v>854</v>
      </c>
      <c r="G210" s="21" t="s">
        <v>855</v>
      </c>
      <c r="H210" s="21" t="s">
        <v>856</v>
      </c>
      <c r="I210" s="4" t="s">
        <v>89</v>
      </c>
      <c r="J210" s="4" t="s">
        <v>89</v>
      </c>
      <c r="K210" s="4" t="s">
        <v>89</v>
      </c>
      <c r="L210" s="4" t="s">
        <v>89</v>
      </c>
      <c r="M210" s="21">
        <v>21.75</v>
      </c>
      <c r="N210" s="34" t="s">
        <v>7</v>
      </c>
      <c r="O210" s="34" t="str">
        <f>IF(ISNUMBER(SEARCH("IMS",PMS_Catalog[[#This Row],[WU Id]])),"IMS",PMS_Catalog[[#This Row],[UNIQUE PRICE per hour]]*PMS_Catalog[[#This Row],[PMS Effort (Hours)]])</f>
        <v>IMS</v>
      </c>
      <c r="P210" s="34" t="s">
        <v>99</v>
      </c>
      <c r="Q210" s="53" t="s">
        <v>88</v>
      </c>
      <c r="R210" s="1" t="s">
        <v>89</v>
      </c>
      <c r="S210" s="1"/>
      <c r="T210" s="31">
        <v>44768</v>
      </c>
      <c r="U210" s="1" t="s">
        <v>90</v>
      </c>
      <c r="V210" s="31">
        <v>44652</v>
      </c>
      <c r="W210" s="1">
        <f t="shared" ca="1" si="6"/>
        <v>4</v>
      </c>
      <c r="X210" s="1" cm="1">
        <f t="array" aca="1" ref="X210" ca="1">_xlfn.IFS(W209=1,8%,W209=2,10%,W209&gt;2,10%,W209&lt;1,0)</f>
        <v>0.1</v>
      </c>
      <c r="Y210" s="35" t="str">
        <f t="shared" si="7"/>
        <v>IMS</v>
      </c>
      <c r="Z210" s="40"/>
      <c r="AA210" s="1" t="str">
        <f>LEFT(PMS_Catalog[[#This Row],[WU Id]],3)</f>
        <v>IMS</v>
      </c>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6"/>
      <c r="BY210" s="46"/>
      <c r="BZ210" s="46"/>
      <c r="CA210" s="46"/>
      <c r="CB210" s="46"/>
      <c r="CC210" s="46"/>
      <c r="CD210" s="46"/>
      <c r="CE210" s="46"/>
      <c r="CF210" s="46"/>
      <c r="CG210" s="46"/>
      <c r="CH210" s="46"/>
      <c r="CI210" s="46"/>
      <c r="CJ210" s="46"/>
      <c r="CK210" s="46"/>
      <c r="CL210" s="46"/>
      <c r="CM210" s="46"/>
      <c r="CN210" s="46"/>
      <c r="CO210" s="46"/>
      <c r="CP210" s="46"/>
      <c r="CQ210" s="46"/>
      <c r="CR210" s="46"/>
      <c r="CS210" s="46"/>
      <c r="CT210" s="46"/>
      <c r="CU210" s="46"/>
      <c r="CV210" s="46"/>
      <c r="CW210" s="46"/>
      <c r="CX210" s="46"/>
      <c r="CY210" s="46"/>
      <c r="CZ210" s="46"/>
      <c r="DA210" s="46"/>
      <c r="DB210" s="46"/>
      <c r="DC210" s="46"/>
      <c r="DD210" s="46"/>
      <c r="DE210" s="46"/>
      <c r="DF210" s="46"/>
      <c r="DG210" s="46"/>
      <c r="DH210" s="46"/>
      <c r="DI210" s="46"/>
      <c r="DJ210" s="46"/>
      <c r="DK210" s="46"/>
      <c r="DL210" s="46"/>
      <c r="DM210" s="46"/>
      <c r="DN210" s="46"/>
      <c r="DO210" s="46"/>
      <c r="DP210" s="46"/>
      <c r="DQ210" s="46"/>
      <c r="DR210" s="46"/>
      <c r="DS210" s="46"/>
      <c r="DT210" s="46"/>
      <c r="DU210" s="46"/>
      <c r="DV210" s="46"/>
      <c r="DW210" s="46"/>
      <c r="DX210" s="46"/>
      <c r="DY210" s="46"/>
      <c r="DZ210" s="46"/>
      <c r="EA210" s="46"/>
      <c r="EB210" s="46"/>
      <c r="EC210" s="46"/>
      <c r="ED210" s="46"/>
      <c r="EE210" s="46"/>
      <c r="EF210" s="46"/>
      <c r="EG210" s="46"/>
      <c r="EH210" s="46"/>
      <c r="EI210" s="46"/>
      <c r="EJ210" s="46"/>
      <c r="EK210" s="46"/>
      <c r="EL210" s="46"/>
      <c r="EM210" s="46"/>
      <c r="EN210" s="46"/>
      <c r="EO210" s="46"/>
      <c r="EP210" s="46"/>
      <c r="EQ210" s="46"/>
      <c r="ER210" s="46"/>
      <c r="ES210" s="46"/>
      <c r="ET210" s="46"/>
      <c r="EU210" s="46"/>
      <c r="EV210" s="46"/>
      <c r="EW210" s="46"/>
      <c r="EX210" s="46"/>
      <c r="EY210" s="46"/>
      <c r="EZ210" s="46"/>
      <c r="FA210" s="46"/>
      <c r="FB210" s="46"/>
      <c r="FC210" s="46"/>
      <c r="FD210" s="46"/>
      <c r="FE210" s="46"/>
      <c r="FF210" s="46"/>
      <c r="FG210" s="46"/>
      <c r="FH210" s="46"/>
      <c r="FI210" s="46"/>
      <c r="FJ210" s="46"/>
      <c r="FK210" s="46"/>
      <c r="FL210" s="46"/>
      <c r="FM210" s="46"/>
      <c r="FN210" s="46"/>
      <c r="FO210" s="46"/>
      <c r="FP210" s="46"/>
      <c r="FQ210" s="46"/>
      <c r="FR210" s="46"/>
      <c r="FS210" s="46"/>
      <c r="FT210" s="46"/>
      <c r="FU210" s="46"/>
      <c r="FV210" s="46"/>
      <c r="FW210" s="46"/>
      <c r="FX210" s="46"/>
      <c r="FY210" s="46"/>
      <c r="FZ210" s="46"/>
      <c r="GA210" s="46"/>
      <c r="GB210" s="46"/>
      <c r="GC210" s="46"/>
      <c r="GD210" s="46"/>
      <c r="GE210" s="46"/>
      <c r="GF210" s="46"/>
      <c r="GG210" s="46"/>
      <c r="GH210" s="46"/>
      <c r="GI210" s="46"/>
      <c r="GJ210" s="46"/>
      <c r="GK210" s="46"/>
      <c r="GL210" s="46"/>
      <c r="GM210" s="46"/>
      <c r="GN210" s="46"/>
      <c r="GO210" s="46"/>
      <c r="GP210" s="46"/>
      <c r="GQ210" s="46"/>
      <c r="GR210" s="46"/>
      <c r="GS210" s="46"/>
      <c r="GT210" s="46"/>
      <c r="GU210" s="46"/>
      <c r="GV210" s="46"/>
      <c r="GW210" s="46"/>
      <c r="GX210" s="46"/>
      <c r="GY210" s="46"/>
      <c r="GZ210" s="46"/>
      <c r="HA210" s="46"/>
      <c r="HB210" s="46"/>
      <c r="HC210" s="46"/>
      <c r="HD210" s="46"/>
      <c r="HE210" s="46"/>
      <c r="HF210" s="46"/>
      <c r="HG210" s="46"/>
      <c r="HH210" s="46"/>
      <c r="HI210" s="46"/>
      <c r="HJ210" s="46"/>
      <c r="HK210" s="46"/>
      <c r="HL210" s="46"/>
      <c r="HM210" s="46"/>
      <c r="HN210" s="46"/>
      <c r="HO210" s="46"/>
      <c r="HP210" s="46"/>
      <c r="HQ210" s="46"/>
      <c r="HR210" s="46"/>
      <c r="HS210" s="46"/>
      <c r="HT210" s="46"/>
      <c r="HU210" s="46"/>
      <c r="HV210" s="46"/>
      <c r="HW210" s="46"/>
      <c r="HX210" s="46"/>
      <c r="HY210" s="46"/>
      <c r="HZ210" s="46"/>
      <c r="IA210" s="46"/>
      <c r="IB210" s="46"/>
      <c r="IC210" s="46"/>
      <c r="ID210" s="46"/>
      <c r="IE210" s="46"/>
      <c r="IF210" s="46"/>
      <c r="IG210" s="46"/>
      <c r="IH210" s="46"/>
      <c r="II210" s="46"/>
      <c r="IJ210" s="46"/>
      <c r="IK210" s="46"/>
      <c r="IL210" s="46"/>
      <c r="IM210" s="46"/>
      <c r="IN210" s="46"/>
      <c r="IO210" s="46"/>
      <c r="IP210" s="46"/>
      <c r="IQ210" s="46"/>
      <c r="IR210" s="46"/>
      <c r="IS210" s="46"/>
      <c r="IT210" s="46"/>
      <c r="IU210" s="46"/>
      <c r="IV210" s="46"/>
      <c r="IW210" s="46"/>
      <c r="IX210" s="46"/>
      <c r="IY210" s="46"/>
      <c r="IZ210" s="46"/>
      <c r="JA210" s="46"/>
      <c r="JB210" s="46"/>
      <c r="JC210" s="46"/>
      <c r="JD210" s="46"/>
      <c r="JE210" s="46"/>
      <c r="JF210" s="46"/>
      <c r="JG210" s="46"/>
      <c r="JH210" s="46"/>
      <c r="JI210" s="46"/>
      <c r="JJ210" s="46"/>
      <c r="JK210" s="46"/>
      <c r="JL210" s="46"/>
      <c r="JM210" s="46"/>
      <c r="JN210" s="46"/>
      <c r="JO210" s="46"/>
      <c r="JP210" s="46"/>
      <c r="JQ210" s="46"/>
      <c r="JR210" s="46"/>
      <c r="JS210" s="46"/>
      <c r="JT210" s="46"/>
      <c r="JU210" s="46"/>
      <c r="JV210" s="46"/>
      <c r="JW210" s="46"/>
      <c r="JX210" s="46"/>
      <c r="JY210" s="46"/>
      <c r="JZ210" s="46"/>
      <c r="KA210" s="46"/>
      <c r="KB210" s="46"/>
      <c r="KC210" s="46"/>
      <c r="KD210" s="46"/>
      <c r="KE210" s="46"/>
      <c r="KF210" s="46"/>
      <c r="KG210" s="46"/>
      <c r="KH210" s="46"/>
      <c r="KI210" s="46"/>
      <c r="KJ210" s="46"/>
      <c r="KK210" s="46"/>
      <c r="KL210" s="46"/>
      <c r="KM210" s="46"/>
      <c r="KN210" s="46"/>
      <c r="KO210" s="46"/>
      <c r="KP210" s="46"/>
      <c r="KQ210" s="46"/>
      <c r="KR210" s="46"/>
      <c r="KS210" s="46"/>
      <c r="KT210" s="46"/>
      <c r="KU210" s="46"/>
      <c r="KV210" s="46"/>
      <c r="KW210" s="46"/>
      <c r="KX210" s="46"/>
      <c r="KY210" s="46"/>
      <c r="KZ210" s="46"/>
      <c r="LA210" s="46"/>
      <c r="LB210" s="46"/>
      <c r="LC210" s="46"/>
      <c r="LD210" s="46"/>
      <c r="LE210" s="46"/>
      <c r="LF210" s="46"/>
      <c r="LG210" s="46"/>
      <c r="LH210" s="46"/>
      <c r="LI210" s="46"/>
      <c r="LJ210" s="46"/>
      <c r="LK210" s="46"/>
      <c r="LL210" s="46"/>
      <c r="LM210" s="46"/>
      <c r="LN210" s="46"/>
      <c r="LO210" s="46"/>
      <c r="LP210" s="46"/>
      <c r="LQ210" s="46"/>
      <c r="LR210" s="46"/>
      <c r="LS210" s="46"/>
      <c r="LT210" s="46"/>
      <c r="LU210" s="46"/>
      <c r="LV210" s="46"/>
      <c r="LW210" s="46"/>
      <c r="LX210" s="46"/>
      <c r="LY210" s="46"/>
      <c r="LZ210" s="46"/>
      <c r="MA210" s="46"/>
      <c r="MB210" s="46"/>
      <c r="MC210" s="46"/>
      <c r="MD210" s="46"/>
      <c r="ME210" s="46"/>
      <c r="MF210" s="46"/>
      <c r="MG210" s="46"/>
      <c r="MH210" s="46"/>
      <c r="MI210" s="46"/>
      <c r="MJ210" s="46"/>
      <c r="MK210" s="46"/>
      <c r="ML210" s="46"/>
      <c r="MM210" s="46"/>
      <c r="MN210" s="46"/>
      <c r="MO210" s="46"/>
      <c r="MP210" s="46"/>
      <c r="MQ210" s="46"/>
      <c r="MR210" s="46"/>
      <c r="MS210" s="46"/>
      <c r="MT210" s="46"/>
      <c r="MU210" s="46"/>
      <c r="MV210" s="46"/>
      <c r="MW210" s="46"/>
      <c r="MX210" s="46"/>
      <c r="MY210" s="46"/>
      <c r="MZ210" s="46"/>
      <c r="NA210" s="46"/>
      <c r="NB210" s="46"/>
      <c r="NC210" s="46"/>
      <c r="ND210" s="46"/>
      <c r="NE210" s="46"/>
      <c r="NF210" s="46"/>
      <c r="NG210" s="46"/>
      <c r="NH210" s="46"/>
      <c r="NI210" s="46"/>
      <c r="NJ210" s="46"/>
      <c r="NK210" s="46"/>
      <c r="NL210" s="46"/>
      <c r="NM210" s="46"/>
      <c r="NN210" s="46"/>
      <c r="NO210" s="46"/>
      <c r="NP210" s="46"/>
      <c r="NQ210" s="46"/>
      <c r="NR210" s="46"/>
      <c r="NS210" s="46"/>
      <c r="NT210" s="46"/>
      <c r="NU210" s="46"/>
      <c r="NV210" s="46"/>
      <c r="NW210" s="46"/>
      <c r="NX210" s="46"/>
      <c r="NY210" s="46"/>
      <c r="NZ210" s="46"/>
      <c r="OA210" s="46"/>
      <c r="OB210" s="46"/>
      <c r="OC210" s="46"/>
      <c r="OD210" s="46"/>
      <c r="OE210" s="46"/>
      <c r="OF210" s="46"/>
      <c r="OG210" s="46"/>
      <c r="OH210" s="46"/>
      <c r="OI210" s="46"/>
      <c r="OJ210" s="46"/>
      <c r="OK210" s="46"/>
      <c r="OL210" s="46"/>
      <c r="OM210" s="46"/>
      <c r="ON210" s="46"/>
      <c r="OO210" s="46"/>
      <c r="OP210" s="46"/>
      <c r="OQ210" s="46"/>
      <c r="OR210" s="46"/>
      <c r="OS210" s="46"/>
      <c r="OT210" s="46"/>
      <c r="OU210" s="46"/>
      <c r="OV210" s="46"/>
      <c r="OW210" s="46"/>
      <c r="OX210" s="46"/>
      <c r="OY210" s="46"/>
      <c r="OZ210" s="46"/>
      <c r="PA210" s="46"/>
      <c r="PB210" s="46"/>
      <c r="PC210" s="46"/>
      <c r="PD210" s="46"/>
      <c r="PE210" s="46"/>
      <c r="PF210" s="46"/>
      <c r="PG210" s="46"/>
      <c r="PH210" s="46"/>
      <c r="PI210" s="46"/>
      <c r="PJ210" s="46"/>
      <c r="PK210" s="46"/>
      <c r="PL210" s="46"/>
      <c r="PM210" s="46"/>
      <c r="PN210" s="46"/>
      <c r="PO210" s="46"/>
      <c r="PP210" s="46"/>
      <c r="PQ210" s="46"/>
      <c r="PR210" s="46"/>
      <c r="PS210" s="46"/>
      <c r="PT210" s="46"/>
      <c r="PU210" s="46"/>
      <c r="PV210" s="46"/>
      <c r="PW210" s="46"/>
      <c r="PX210" s="46"/>
      <c r="PY210" s="46"/>
      <c r="PZ210" s="46"/>
      <c r="QA210" s="46"/>
      <c r="QB210" s="46"/>
      <c r="QC210" s="46"/>
      <c r="QD210" s="46"/>
      <c r="QE210" s="46"/>
      <c r="QF210" s="46"/>
      <c r="QG210" s="46"/>
      <c r="QH210" s="46"/>
      <c r="QI210" s="46"/>
      <c r="QJ210" s="46"/>
      <c r="QK210" s="46"/>
      <c r="QL210" s="46"/>
      <c r="QM210" s="46"/>
      <c r="QN210" s="46"/>
      <c r="QO210" s="46"/>
      <c r="QP210" s="46"/>
      <c r="QQ210" s="46"/>
      <c r="QR210" s="46"/>
      <c r="QS210" s="46"/>
      <c r="QT210" s="46"/>
      <c r="QU210" s="46"/>
      <c r="QV210" s="46"/>
      <c r="QW210" s="46"/>
      <c r="QX210" s="46"/>
      <c r="QY210" s="46"/>
      <c r="QZ210" s="46"/>
      <c r="RA210" s="46"/>
      <c r="RB210" s="46"/>
      <c r="RC210" s="46"/>
      <c r="RD210" s="46"/>
      <c r="RE210" s="46"/>
      <c r="RF210" s="46"/>
      <c r="RG210" s="46"/>
      <c r="RH210" s="46"/>
      <c r="RI210" s="46"/>
      <c r="RJ210" s="46"/>
      <c r="RK210" s="46"/>
      <c r="RL210" s="46"/>
      <c r="RM210" s="46"/>
      <c r="RN210" s="46"/>
      <c r="RO210" s="46"/>
      <c r="RP210" s="46"/>
      <c r="RQ210" s="46"/>
      <c r="RR210" s="46"/>
      <c r="RS210" s="46"/>
      <c r="RT210" s="46"/>
      <c r="RU210" s="46"/>
      <c r="RV210" s="46"/>
      <c r="RW210" s="46"/>
      <c r="RX210" s="46"/>
      <c r="RY210" s="46"/>
      <c r="RZ210" s="46"/>
      <c r="SA210" s="46"/>
      <c r="SB210" s="46"/>
      <c r="SC210" s="46"/>
      <c r="SD210" s="46"/>
      <c r="SE210" s="46"/>
      <c r="SF210" s="46"/>
      <c r="SG210" s="46"/>
      <c r="SH210" s="46"/>
      <c r="SI210" s="46"/>
      <c r="SJ210" s="46"/>
      <c r="SK210" s="46"/>
      <c r="SL210" s="46"/>
      <c r="SM210" s="46"/>
      <c r="SN210" s="46"/>
      <c r="SO210" s="46"/>
      <c r="SP210" s="46"/>
      <c r="SQ210" s="46"/>
      <c r="SR210" s="46"/>
      <c r="SS210" s="46"/>
      <c r="ST210" s="46"/>
      <c r="SU210" s="46"/>
      <c r="SV210" s="46"/>
      <c r="SW210" s="46"/>
      <c r="SX210" s="46"/>
      <c r="SY210" s="46"/>
      <c r="SZ210" s="46"/>
      <c r="TA210" s="46"/>
      <c r="TB210" s="46"/>
      <c r="TC210" s="46"/>
      <c r="TD210" s="46"/>
      <c r="TE210" s="46"/>
      <c r="TF210" s="46"/>
      <c r="TG210" s="46"/>
      <c r="TH210" s="46"/>
      <c r="TI210" s="46"/>
      <c r="TJ210" s="46"/>
      <c r="TK210" s="46"/>
      <c r="TL210" s="46"/>
      <c r="TM210" s="46"/>
      <c r="TN210" s="46"/>
      <c r="TO210" s="46"/>
      <c r="TP210" s="46"/>
      <c r="TQ210" s="46"/>
      <c r="TR210" s="46"/>
      <c r="TS210" s="46"/>
      <c r="TT210" s="46"/>
      <c r="TU210" s="46"/>
      <c r="TV210" s="46"/>
      <c r="TW210" s="46"/>
      <c r="TX210" s="46"/>
      <c r="TY210" s="46"/>
      <c r="TZ210" s="46"/>
      <c r="UA210" s="46"/>
      <c r="UB210" s="46"/>
      <c r="UC210" s="46"/>
      <c r="UD210" s="46"/>
      <c r="UE210" s="46"/>
      <c r="UF210" s="46"/>
      <c r="UG210" s="46"/>
      <c r="UH210" s="46"/>
      <c r="UI210" s="46"/>
      <c r="UJ210" s="46"/>
      <c r="UK210" s="46"/>
      <c r="UL210" s="46"/>
      <c r="UM210" s="46"/>
      <c r="UN210" s="46"/>
      <c r="UO210" s="46"/>
      <c r="UP210" s="46"/>
      <c r="UQ210" s="46"/>
      <c r="UR210" s="46"/>
      <c r="US210" s="46"/>
      <c r="UT210" s="46"/>
      <c r="UU210" s="46"/>
      <c r="UV210" s="46"/>
      <c r="UW210" s="46"/>
      <c r="UX210" s="46"/>
      <c r="UY210" s="46"/>
      <c r="UZ210" s="46"/>
      <c r="VA210" s="46"/>
      <c r="VB210" s="46"/>
      <c r="VC210" s="46"/>
      <c r="VD210" s="46"/>
      <c r="VE210" s="46"/>
      <c r="VF210" s="46"/>
      <c r="VG210" s="46"/>
      <c r="VH210" s="46"/>
      <c r="VI210" s="46"/>
      <c r="VJ210" s="46"/>
      <c r="VK210" s="46"/>
      <c r="VL210" s="46"/>
      <c r="VM210" s="46"/>
      <c r="VN210" s="46"/>
      <c r="VO210" s="46"/>
      <c r="VP210" s="46"/>
      <c r="VQ210" s="46"/>
      <c r="VR210" s="46"/>
      <c r="VS210" s="46"/>
      <c r="VT210" s="46"/>
      <c r="VU210" s="46"/>
      <c r="VV210" s="46"/>
      <c r="VW210" s="46"/>
      <c r="VX210" s="46"/>
      <c r="VY210" s="46"/>
      <c r="VZ210" s="46"/>
      <c r="WA210" s="46"/>
      <c r="WB210" s="46"/>
      <c r="WC210" s="46"/>
      <c r="WD210" s="46"/>
      <c r="WE210" s="46"/>
      <c r="WF210" s="46"/>
      <c r="WG210" s="46"/>
      <c r="WH210" s="46"/>
      <c r="WI210" s="46"/>
      <c r="WJ210" s="46"/>
      <c r="WK210" s="46"/>
      <c r="WL210" s="46"/>
      <c r="WM210" s="46"/>
      <c r="WN210" s="46"/>
      <c r="WO210" s="46"/>
      <c r="WP210" s="46"/>
      <c r="WQ210" s="46"/>
      <c r="WR210" s="46"/>
      <c r="WS210" s="46"/>
      <c r="WT210" s="46"/>
      <c r="WU210" s="46"/>
      <c r="WV210" s="46"/>
      <c r="WW210" s="46"/>
      <c r="WX210" s="46"/>
      <c r="WY210" s="46"/>
      <c r="WZ210" s="46"/>
      <c r="XA210" s="46"/>
      <c r="XB210" s="46"/>
      <c r="XC210" s="46"/>
      <c r="XD210" s="46"/>
      <c r="XE210" s="46"/>
      <c r="XF210" s="46"/>
      <c r="XG210" s="46"/>
      <c r="XH210" s="46"/>
      <c r="XI210" s="46"/>
      <c r="XJ210" s="46"/>
      <c r="XK210" s="46"/>
      <c r="XL210" s="46"/>
      <c r="XM210" s="46"/>
      <c r="XN210" s="46"/>
      <c r="XO210" s="46"/>
      <c r="XP210" s="46"/>
      <c r="XQ210" s="46"/>
      <c r="XR210" s="46"/>
      <c r="XS210" s="46"/>
      <c r="XT210" s="46"/>
      <c r="XU210" s="46"/>
      <c r="XV210" s="46"/>
      <c r="XW210" s="46"/>
      <c r="XX210" s="46"/>
      <c r="XY210" s="46"/>
      <c r="XZ210" s="46"/>
      <c r="YA210" s="46"/>
      <c r="YB210" s="46"/>
      <c r="YC210" s="46"/>
      <c r="YD210" s="46"/>
      <c r="YE210" s="46"/>
      <c r="YF210" s="46"/>
      <c r="YG210" s="46"/>
      <c r="YH210" s="46"/>
      <c r="YI210" s="46"/>
      <c r="YJ210" s="46"/>
      <c r="YK210" s="46"/>
      <c r="YL210" s="46"/>
      <c r="YM210" s="46"/>
      <c r="YN210" s="46"/>
      <c r="YO210" s="46"/>
      <c r="YP210" s="46"/>
      <c r="YQ210" s="46"/>
      <c r="YR210" s="46"/>
      <c r="YS210" s="46"/>
      <c r="YT210" s="46"/>
      <c r="YU210" s="46"/>
      <c r="YV210" s="46"/>
      <c r="YW210" s="46"/>
      <c r="YX210" s="46"/>
      <c r="YY210" s="46"/>
      <c r="YZ210" s="46"/>
      <c r="ZA210" s="46"/>
      <c r="ZB210" s="46"/>
      <c r="ZC210" s="46"/>
      <c r="ZD210" s="46"/>
      <c r="ZE210" s="46"/>
      <c r="ZF210" s="46"/>
      <c r="ZG210" s="46"/>
      <c r="ZH210" s="46"/>
      <c r="ZI210" s="46"/>
      <c r="ZJ210" s="46"/>
      <c r="ZK210" s="46"/>
      <c r="ZL210" s="46"/>
      <c r="ZM210" s="46"/>
      <c r="ZN210" s="46"/>
      <c r="ZO210" s="46"/>
      <c r="ZP210" s="46"/>
      <c r="ZQ210" s="46"/>
      <c r="ZR210" s="46"/>
      <c r="ZS210" s="46"/>
      <c r="ZT210" s="46"/>
      <c r="ZU210" s="46"/>
      <c r="ZV210" s="46"/>
      <c r="ZW210" s="46"/>
      <c r="ZX210" s="46"/>
      <c r="ZY210" s="46"/>
      <c r="ZZ210" s="46"/>
      <c r="AAA210" s="46"/>
      <c r="AAB210" s="46"/>
      <c r="AAC210" s="46"/>
      <c r="AAD210" s="46"/>
      <c r="AAE210" s="46"/>
      <c r="AAF210" s="46"/>
      <c r="AAG210" s="46"/>
      <c r="AAH210" s="46"/>
      <c r="AAI210" s="46"/>
      <c r="AAJ210" s="46"/>
      <c r="AAK210" s="46"/>
      <c r="AAL210" s="46"/>
      <c r="AAM210" s="46"/>
      <c r="AAN210" s="46"/>
      <c r="AAO210" s="46"/>
      <c r="AAP210" s="46"/>
      <c r="AAQ210" s="46"/>
      <c r="AAR210" s="46"/>
      <c r="AAS210" s="46"/>
      <c r="AAT210" s="46"/>
      <c r="AAU210" s="46"/>
      <c r="AAV210" s="46"/>
      <c r="AAW210" s="46"/>
      <c r="AAX210" s="46"/>
      <c r="AAY210" s="46"/>
      <c r="AAZ210" s="46"/>
      <c r="ABA210" s="46"/>
      <c r="ABB210" s="46"/>
      <c r="ABC210" s="46"/>
      <c r="ABD210" s="46"/>
      <c r="ABE210" s="46"/>
      <c r="ABF210" s="46"/>
      <c r="ABG210" s="46"/>
      <c r="ABH210" s="46"/>
      <c r="ABI210" s="46"/>
      <c r="ABJ210" s="46"/>
      <c r="ABK210" s="46"/>
      <c r="ABL210" s="46"/>
      <c r="ABM210" s="46"/>
      <c r="ABN210" s="46"/>
      <c r="ABO210" s="46"/>
      <c r="ABP210" s="46"/>
      <c r="ABQ210" s="46"/>
      <c r="ABR210" s="46"/>
      <c r="ABS210" s="46"/>
      <c r="ABT210" s="46"/>
      <c r="ABU210" s="46"/>
      <c r="ABV210" s="46"/>
      <c r="ABW210" s="46"/>
      <c r="ABX210" s="46"/>
      <c r="ABY210" s="46"/>
      <c r="ABZ210" s="46"/>
      <c r="ACA210" s="46"/>
      <c r="ACB210" s="46"/>
      <c r="ACC210" s="46"/>
      <c r="ACD210" s="46"/>
      <c r="ACE210" s="46"/>
      <c r="ACF210" s="46"/>
      <c r="ACG210" s="46"/>
      <c r="ACH210" s="46"/>
      <c r="ACI210" s="46"/>
      <c r="ACJ210" s="46"/>
      <c r="ACK210" s="46"/>
      <c r="ACL210" s="46"/>
      <c r="ACM210" s="46"/>
      <c r="ACN210" s="46"/>
      <c r="ACO210" s="46"/>
      <c r="ACP210" s="46"/>
      <c r="ACQ210" s="46"/>
      <c r="ACR210" s="46"/>
      <c r="ACS210" s="46"/>
      <c r="ACT210" s="46"/>
      <c r="ACU210" s="46"/>
      <c r="ACV210" s="46"/>
      <c r="ACW210" s="46"/>
      <c r="ACX210" s="46"/>
      <c r="ACY210" s="46"/>
      <c r="ACZ210" s="46"/>
      <c r="ADA210" s="46"/>
      <c r="ADB210" s="46"/>
      <c r="ADC210" s="46"/>
      <c r="ADD210" s="46"/>
      <c r="ADE210" s="46"/>
      <c r="ADF210" s="46"/>
      <c r="ADG210" s="46"/>
      <c r="ADH210" s="46"/>
      <c r="ADI210" s="46"/>
      <c r="ADJ210" s="46"/>
      <c r="ADK210" s="46"/>
      <c r="ADL210" s="46"/>
      <c r="ADM210" s="46"/>
      <c r="ADN210" s="46"/>
      <c r="ADO210" s="46"/>
      <c r="ADP210" s="46"/>
      <c r="ADQ210" s="46"/>
      <c r="ADR210" s="46"/>
      <c r="ADS210" s="46"/>
      <c r="ADT210" s="46"/>
      <c r="ADU210" s="46"/>
      <c r="ADV210" s="46"/>
      <c r="ADW210" s="46"/>
      <c r="ADX210" s="46"/>
      <c r="ADY210" s="46"/>
      <c r="ADZ210" s="46"/>
      <c r="AEA210" s="46"/>
      <c r="AEB210" s="46"/>
      <c r="AEC210" s="46"/>
      <c r="AED210" s="46"/>
      <c r="AEE210" s="46"/>
      <c r="AEF210" s="46"/>
      <c r="AEG210" s="46"/>
      <c r="AEH210" s="46"/>
      <c r="AEI210" s="46"/>
      <c r="AEJ210" s="46"/>
      <c r="AEK210" s="46"/>
      <c r="AEL210" s="46"/>
      <c r="AEM210" s="46"/>
      <c r="AEN210" s="46"/>
      <c r="AEO210" s="46"/>
      <c r="AEP210" s="46"/>
      <c r="AEQ210" s="46"/>
      <c r="AER210" s="46"/>
      <c r="AES210" s="46"/>
      <c r="AET210" s="46"/>
      <c r="AEU210" s="46"/>
      <c r="AEV210" s="46"/>
      <c r="AEW210" s="46"/>
      <c r="AEX210" s="46"/>
      <c r="AEY210" s="46"/>
      <c r="AEZ210" s="46"/>
      <c r="AFA210" s="46"/>
      <c r="AFB210" s="46"/>
      <c r="AFC210" s="46"/>
      <c r="AFD210" s="46"/>
      <c r="AFE210" s="46"/>
      <c r="AFF210" s="46"/>
      <c r="AFG210" s="46"/>
      <c r="AFH210" s="46"/>
      <c r="AFI210" s="46"/>
      <c r="AFJ210" s="46"/>
      <c r="AFK210" s="46"/>
      <c r="AFL210" s="46"/>
      <c r="AFM210" s="46"/>
      <c r="AFN210" s="46"/>
      <c r="AFO210" s="46"/>
      <c r="AFP210" s="46"/>
      <c r="AFQ210" s="46"/>
      <c r="AFR210" s="46"/>
      <c r="AFS210" s="46"/>
      <c r="AFT210" s="46"/>
      <c r="AFU210" s="46"/>
      <c r="AFV210" s="46"/>
      <c r="AFW210" s="46"/>
      <c r="AFX210" s="46"/>
      <c r="AFY210" s="46"/>
      <c r="AFZ210" s="46"/>
      <c r="AGA210" s="46"/>
      <c r="AGB210" s="46"/>
      <c r="AGC210" s="46"/>
      <c r="AGD210" s="46"/>
      <c r="AGE210" s="46"/>
      <c r="AGF210" s="46"/>
      <c r="AGG210" s="46"/>
      <c r="AGH210" s="46"/>
      <c r="AGI210" s="46"/>
      <c r="AGJ210" s="46"/>
      <c r="AGK210" s="46"/>
      <c r="AGL210" s="46"/>
      <c r="AGM210" s="46"/>
      <c r="AGN210" s="46"/>
      <c r="AGO210" s="46"/>
      <c r="AGP210" s="46"/>
      <c r="AGQ210" s="46"/>
      <c r="AGR210" s="46"/>
      <c r="AGS210" s="46"/>
      <c r="AGT210" s="46"/>
      <c r="AGU210" s="46"/>
      <c r="AGV210" s="46"/>
      <c r="AGW210" s="46"/>
      <c r="AGX210" s="46"/>
      <c r="AGY210" s="46"/>
      <c r="AGZ210" s="46"/>
      <c r="AHA210" s="46"/>
      <c r="AHB210" s="46"/>
      <c r="AHC210" s="46"/>
      <c r="AHD210" s="46"/>
      <c r="AHE210" s="46"/>
      <c r="AHF210" s="46"/>
      <c r="AHG210" s="46"/>
      <c r="AHH210" s="46"/>
      <c r="AHI210" s="46"/>
      <c r="AHJ210" s="46"/>
      <c r="AHK210" s="46"/>
      <c r="AHL210" s="46"/>
      <c r="AHM210" s="46"/>
      <c r="AHN210" s="46"/>
      <c r="AHO210" s="46"/>
      <c r="AHP210" s="46"/>
      <c r="AHQ210" s="46"/>
      <c r="AHR210" s="46"/>
      <c r="AHS210" s="46"/>
      <c r="AHT210" s="46"/>
      <c r="AHU210" s="46"/>
      <c r="AHV210" s="46"/>
      <c r="AHW210" s="46"/>
      <c r="AHX210" s="46"/>
      <c r="AHY210" s="46"/>
      <c r="AHZ210" s="46"/>
      <c r="AIA210" s="46"/>
      <c r="AIB210" s="46"/>
      <c r="AIC210" s="46"/>
      <c r="AID210" s="46"/>
      <c r="AIE210" s="46"/>
      <c r="AIF210" s="46"/>
      <c r="AIG210" s="46"/>
      <c r="AIH210" s="46"/>
      <c r="AII210" s="46"/>
      <c r="AIJ210" s="46"/>
      <c r="AIK210" s="46"/>
      <c r="AIL210" s="46"/>
      <c r="AIM210" s="46"/>
      <c r="AIN210" s="46"/>
      <c r="AIO210" s="46"/>
      <c r="AIP210" s="46"/>
      <c r="AIQ210" s="46"/>
      <c r="AIR210" s="46"/>
      <c r="AIS210" s="46"/>
      <c r="AIT210" s="46"/>
      <c r="AIU210" s="46"/>
      <c r="AIV210" s="46"/>
      <c r="AIW210" s="46"/>
      <c r="AIX210" s="46"/>
      <c r="AIY210" s="46"/>
      <c r="AIZ210" s="46"/>
      <c r="AJA210" s="46"/>
      <c r="AJB210" s="46"/>
      <c r="AJC210" s="46"/>
      <c r="AJD210" s="46"/>
      <c r="AJE210" s="46"/>
      <c r="AJF210" s="46"/>
      <c r="AJG210" s="46"/>
      <c r="AJH210" s="46"/>
      <c r="AJI210" s="46"/>
      <c r="AJJ210" s="46"/>
      <c r="AJK210" s="46"/>
      <c r="AJL210" s="46"/>
      <c r="AJM210" s="46"/>
      <c r="AJN210" s="46"/>
      <c r="AJO210" s="46"/>
      <c r="AJP210" s="46"/>
      <c r="AJQ210" s="46"/>
      <c r="AJR210" s="46"/>
      <c r="AJS210" s="46"/>
      <c r="AJT210" s="46"/>
      <c r="AJU210" s="46"/>
      <c r="AJV210" s="46"/>
      <c r="AJW210" s="46"/>
      <c r="AJX210" s="46"/>
      <c r="AJY210" s="46"/>
      <c r="AJZ210" s="46"/>
      <c r="AKA210" s="46"/>
      <c r="AKB210" s="46"/>
      <c r="AKC210" s="46"/>
      <c r="AKD210" s="46"/>
      <c r="AKE210" s="46"/>
      <c r="AKF210" s="46"/>
      <c r="AKG210" s="46"/>
      <c r="AKH210" s="46"/>
      <c r="AKI210" s="46"/>
      <c r="AKJ210" s="46"/>
      <c r="AKK210" s="46"/>
      <c r="AKL210" s="46"/>
      <c r="AKM210" s="46"/>
      <c r="AKN210" s="46"/>
      <c r="AKO210" s="46"/>
      <c r="AKP210" s="46"/>
      <c r="AKQ210" s="46"/>
      <c r="AKR210" s="46"/>
      <c r="AKS210" s="46"/>
      <c r="AKT210" s="46"/>
      <c r="AKU210" s="46"/>
      <c r="AKV210" s="46"/>
      <c r="AKW210" s="46"/>
      <c r="AKX210" s="46"/>
      <c r="AKY210" s="46"/>
      <c r="AKZ210" s="46"/>
      <c r="ALA210" s="46"/>
      <c r="ALB210" s="46"/>
      <c r="ALC210" s="46"/>
      <c r="ALD210" s="46"/>
      <c r="ALE210" s="46"/>
      <c r="ALF210" s="46"/>
      <c r="ALG210" s="46"/>
      <c r="ALH210" s="46"/>
      <c r="ALI210" s="46"/>
      <c r="ALJ210" s="46"/>
      <c r="ALK210" s="46"/>
      <c r="ALL210" s="46"/>
      <c r="ALM210" s="46"/>
      <c r="ALN210" s="46"/>
      <c r="ALO210" s="46"/>
      <c r="ALP210" s="46"/>
      <c r="ALQ210" s="46"/>
      <c r="ALR210" s="46"/>
      <c r="ALS210" s="46"/>
      <c r="ALT210" s="46"/>
      <c r="ALU210" s="46"/>
      <c r="ALV210" s="46"/>
      <c r="ALW210" s="46"/>
      <c r="ALX210" s="46"/>
      <c r="ALY210" s="46"/>
      <c r="ALZ210" s="46"/>
      <c r="AMA210" s="46"/>
      <c r="AMB210" s="46"/>
      <c r="AMC210" s="46"/>
      <c r="AMD210" s="46"/>
      <c r="AME210" s="46"/>
      <c r="AMF210" s="46"/>
      <c r="AMG210" s="46"/>
      <c r="AMH210" s="46"/>
      <c r="AMI210" s="46"/>
      <c r="AMJ210" s="46"/>
      <c r="AMK210" s="46"/>
      <c r="AML210" s="46"/>
      <c r="AMM210" s="46"/>
      <c r="AMN210" s="46"/>
      <c r="AMO210" s="46"/>
      <c r="AMP210" s="46"/>
      <c r="AMQ210" s="46"/>
      <c r="AMR210" s="46"/>
      <c r="AMS210" s="46"/>
      <c r="AMT210" s="46"/>
      <c r="AMU210" s="46"/>
      <c r="AMV210" s="46"/>
      <c r="AMW210" s="46"/>
      <c r="AMX210" s="46"/>
      <c r="AMY210" s="46"/>
      <c r="AMZ210" s="46"/>
      <c r="ANA210" s="46"/>
      <c r="ANB210" s="46"/>
      <c r="ANC210" s="46"/>
      <c r="AND210" s="46"/>
      <c r="ANE210" s="46"/>
      <c r="ANF210" s="46"/>
      <c r="ANG210" s="46"/>
      <c r="ANH210" s="46"/>
      <c r="ANI210" s="46"/>
      <c r="ANJ210" s="46"/>
      <c r="ANK210" s="46"/>
      <c r="ANL210" s="46"/>
      <c r="ANM210" s="46"/>
      <c r="ANN210" s="46"/>
      <c r="ANO210" s="46"/>
      <c r="ANP210" s="46"/>
      <c r="ANQ210" s="46"/>
      <c r="ANR210" s="46"/>
      <c r="ANS210" s="46"/>
      <c r="ANT210" s="46"/>
      <c r="ANU210" s="46"/>
      <c r="ANV210" s="46"/>
      <c r="ANW210" s="46"/>
      <c r="ANX210" s="46"/>
      <c r="ANY210" s="46"/>
      <c r="ANZ210" s="46"/>
      <c r="AOA210" s="46"/>
      <c r="AOB210" s="46"/>
      <c r="AOC210" s="46"/>
      <c r="AOD210" s="46"/>
      <c r="AOE210" s="46"/>
      <c r="AOF210" s="46"/>
      <c r="AOG210" s="46"/>
      <c r="AOH210" s="46"/>
      <c r="AOI210" s="46"/>
      <c r="AOJ210" s="46"/>
      <c r="AOK210" s="46"/>
      <c r="AOL210" s="46"/>
      <c r="AOM210" s="46"/>
      <c r="AON210" s="46"/>
      <c r="AOO210" s="46"/>
      <c r="AOP210" s="46"/>
      <c r="AOQ210" s="46"/>
      <c r="AOR210" s="46"/>
      <c r="AOS210" s="46"/>
      <c r="AOT210" s="46"/>
      <c r="AOU210" s="46"/>
      <c r="AOV210" s="46"/>
      <c r="AOW210" s="46"/>
      <c r="AOX210" s="46"/>
      <c r="AOY210" s="46"/>
      <c r="AOZ210" s="46"/>
      <c r="APA210" s="46"/>
      <c r="APB210" s="46"/>
      <c r="APC210" s="46"/>
      <c r="APD210" s="46"/>
      <c r="APE210" s="46"/>
      <c r="APF210" s="46"/>
      <c r="APG210" s="46"/>
      <c r="APH210" s="46"/>
      <c r="API210" s="46"/>
      <c r="APJ210" s="46"/>
      <c r="APK210" s="46"/>
      <c r="APL210" s="46"/>
      <c r="APM210" s="46"/>
      <c r="APN210" s="46"/>
      <c r="APO210" s="46"/>
      <c r="APP210" s="46"/>
      <c r="APQ210" s="46"/>
      <c r="APR210" s="46"/>
      <c r="APS210" s="46"/>
      <c r="APT210" s="46"/>
      <c r="APU210" s="46"/>
      <c r="APV210" s="46"/>
      <c r="APW210" s="46"/>
      <c r="APX210" s="46"/>
      <c r="APY210" s="46"/>
      <c r="APZ210" s="46"/>
      <c r="AQA210" s="46"/>
      <c r="AQB210" s="46"/>
      <c r="AQC210" s="46"/>
      <c r="AQD210" s="46"/>
      <c r="AQE210" s="46"/>
      <c r="AQF210" s="46"/>
      <c r="AQG210" s="46"/>
      <c r="AQH210" s="46"/>
      <c r="AQI210" s="46"/>
      <c r="AQJ210" s="46"/>
      <c r="AQK210" s="46"/>
      <c r="AQL210" s="46"/>
      <c r="AQM210" s="46"/>
      <c r="AQN210" s="46"/>
      <c r="AQO210" s="46"/>
      <c r="AQP210" s="46"/>
      <c r="AQQ210" s="46"/>
      <c r="AQR210" s="46"/>
      <c r="AQS210" s="46"/>
      <c r="AQT210" s="46"/>
      <c r="AQU210" s="46"/>
      <c r="AQV210" s="46"/>
      <c r="AQW210" s="46"/>
      <c r="AQX210" s="46"/>
      <c r="AQY210" s="46"/>
      <c r="AQZ210" s="46"/>
      <c r="ARA210" s="46"/>
      <c r="ARB210" s="46"/>
      <c r="ARC210" s="46"/>
      <c r="ARD210" s="46"/>
      <c r="ARE210" s="46"/>
      <c r="ARF210" s="46"/>
      <c r="ARG210" s="46"/>
      <c r="ARH210" s="46"/>
      <c r="ARI210" s="46"/>
      <c r="ARJ210" s="46"/>
      <c r="ARK210" s="46"/>
      <c r="ARL210" s="46"/>
      <c r="ARM210" s="46"/>
      <c r="ARN210" s="46"/>
      <c r="ARO210" s="46"/>
      <c r="ARP210" s="46"/>
      <c r="ARQ210" s="46"/>
      <c r="ARR210" s="46"/>
      <c r="ARS210" s="46"/>
      <c r="ART210" s="46"/>
      <c r="ARU210" s="46"/>
      <c r="ARV210" s="46"/>
      <c r="ARW210" s="46"/>
      <c r="ARX210" s="46"/>
      <c r="ARY210" s="46"/>
      <c r="ARZ210" s="46"/>
      <c r="ASA210" s="46"/>
      <c r="ASB210" s="46"/>
      <c r="ASC210" s="46"/>
      <c r="ASD210" s="46"/>
      <c r="ASE210" s="46"/>
      <c r="ASF210" s="46"/>
      <c r="ASG210" s="46"/>
      <c r="ASH210" s="46"/>
      <c r="ASI210" s="46"/>
      <c r="ASJ210" s="46"/>
      <c r="ASK210" s="46"/>
      <c r="ASL210" s="46"/>
      <c r="ASM210" s="46"/>
      <c r="ASN210" s="46"/>
      <c r="ASO210" s="46"/>
      <c r="ASP210" s="46"/>
      <c r="ASQ210" s="46"/>
      <c r="ASR210" s="46"/>
      <c r="ASS210" s="46"/>
      <c r="AST210" s="46"/>
      <c r="ASU210" s="46"/>
      <c r="ASV210" s="46"/>
      <c r="ASW210" s="46"/>
      <c r="ASX210" s="46"/>
      <c r="ASY210" s="46"/>
      <c r="ASZ210" s="46"/>
      <c r="ATA210" s="46"/>
      <c r="ATB210" s="46"/>
      <c r="ATC210" s="46"/>
      <c r="ATD210" s="46"/>
      <c r="ATE210" s="46"/>
      <c r="ATF210" s="46"/>
      <c r="ATG210" s="46"/>
      <c r="ATH210" s="46"/>
      <c r="ATI210" s="46"/>
      <c r="ATJ210" s="46"/>
      <c r="ATK210" s="46"/>
      <c r="ATL210" s="46"/>
      <c r="ATM210" s="46"/>
      <c r="ATN210" s="46"/>
      <c r="ATO210" s="46"/>
      <c r="ATP210" s="46"/>
      <c r="ATQ210" s="46"/>
      <c r="ATR210" s="46"/>
      <c r="ATS210" s="46"/>
      <c r="ATT210" s="46"/>
      <c r="ATU210" s="46"/>
      <c r="ATV210" s="46"/>
      <c r="ATW210" s="46"/>
      <c r="ATX210" s="46"/>
      <c r="ATY210" s="46"/>
      <c r="ATZ210" s="46"/>
      <c r="AUA210" s="46"/>
      <c r="AUB210" s="46"/>
      <c r="AUC210" s="46"/>
      <c r="AUD210" s="46"/>
      <c r="AUE210" s="46"/>
      <c r="AUF210" s="46"/>
      <c r="AUG210" s="46"/>
      <c r="AUH210" s="46"/>
      <c r="AUI210" s="46"/>
      <c r="AUJ210" s="46"/>
      <c r="AUK210" s="46"/>
      <c r="AUL210" s="46"/>
      <c r="AUM210" s="46"/>
      <c r="AUN210" s="46"/>
      <c r="AUO210" s="46"/>
      <c r="AUP210" s="46"/>
      <c r="AUQ210" s="46"/>
      <c r="AUR210" s="46"/>
      <c r="AUS210" s="46"/>
      <c r="AUT210" s="46"/>
      <c r="AUU210" s="46"/>
      <c r="AUV210" s="46"/>
      <c r="AUW210" s="46"/>
      <c r="AUX210" s="46"/>
      <c r="AUY210" s="46"/>
      <c r="AUZ210" s="46"/>
      <c r="AVA210" s="46"/>
      <c r="AVB210" s="46"/>
      <c r="AVC210" s="46"/>
      <c r="AVD210" s="46"/>
      <c r="AVE210" s="46"/>
      <c r="AVF210" s="46"/>
      <c r="AVG210" s="46"/>
      <c r="AVH210" s="46"/>
      <c r="AVI210" s="46"/>
      <c r="AVJ210" s="46"/>
      <c r="AVK210" s="46"/>
      <c r="AVL210" s="46"/>
      <c r="AVM210" s="46"/>
      <c r="AVN210" s="46"/>
      <c r="AVO210" s="46"/>
      <c r="AVP210" s="46"/>
      <c r="AVQ210" s="46"/>
      <c r="AVR210" s="46"/>
      <c r="AVS210" s="46"/>
      <c r="AVT210" s="46"/>
      <c r="AVU210" s="46"/>
      <c r="AVV210" s="46"/>
      <c r="AVW210" s="46"/>
      <c r="AVX210" s="46"/>
      <c r="AVY210" s="46"/>
      <c r="AVZ210" s="46"/>
      <c r="AWA210" s="46"/>
      <c r="AWB210" s="46"/>
      <c r="AWC210" s="46"/>
      <c r="AWD210" s="46"/>
      <c r="AWE210" s="46"/>
      <c r="AWF210" s="46"/>
      <c r="AWG210" s="46"/>
      <c r="AWH210" s="46"/>
      <c r="AWI210" s="46"/>
      <c r="AWJ210" s="46"/>
      <c r="AWK210" s="46"/>
      <c r="AWL210" s="46"/>
      <c r="AWM210" s="46"/>
      <c r="AWN210" s="46"/>
      <c r="AWO210" s="46"/>
      <c r="AWP210" s="46"/>
      <c r="AWQ210" s="46"/>
      <c r="AWR210" s="46"/>
      <c r="AWS210" s="46"/>
      <c r="AWT210" s="46"/>
      <c r="AWU210" s="46"/>
      <c r="AWV210" s="46"/>
      <c r="AWW210" s="46"/>
      <c r="AWX210" s="46"/>
      <c r="AWY210" s="46"/>
      <c r="AWZ210" s="46"/>
      <c r="AXA210" s="46"/>
      <c r="AXB210" s="46"/>
      <c r="AXC210" s="46"/>
      <c r="AXD210" s="46"/>
      <c r="AXE210" s="46"/>
      <c r="AXF210" s="46"/>
      <c r="AXG210" s="46"/>
      <c r="AXH210" s="46"/>
      <c r="AXI210" s="46"/>
      <c r="AXJ210" s="46"/>
      <c r="AXK210" s="46"/>
      <c r="AXL210" s="46"/>
      <c r="AXM210" s="46"/>
      <c r="AXN210" s="46"/>
      <c r="AXO210" s="46"/>
      <c r="AXP210" s="46"/>
      <c r="AXQ210" s="46"/>
      <c r="AXR210" s="46"/>
      <c r="AXS210" s="46"/>
      <c r="AXT210" s="46"/>
      <c r="AXU210" s="46"/>
      <c r="AXV210" s="46"/>
      <c r="AXW210" s="46"/>
      <c r="AXX210" s="46"/>
      <c r="AXY210" s="46"/>
      <c r="AXZ210" s="46"/>
      <c r="AYA210" s="46"/>
      <c r="AYB210" s="46"/>
      <c r="AYC210" s="46"/>
      <c r="AYD210" s="46"/>
      <c r="AYE210" s="46"/>
      <c r="AYF210" s="46"/>
      <c r="AYG210" s="46"/>
      <c r="AYH210" s="46"/>
      <c r="AYI210" s="46"/>
      <c r="AYJ210" s="46"/>
      <c r="AYK210" s="46"/>
      <c r="AYL210" s="46"/>
      <c r="AYM210" s="46"/>
      <c r="AYN210" s="46"/>
      <c r="AYO210" s="46"/>
      <c r="AYP210" s="46"/>
      <c r="AYQ210" s="46"/>
      <c r="AYR210" s="46"/>
      <c r="AYS210" s="46"/>
      <c r="AYT210" s="46"/>
      <c r="AYU210" s="46"/>
      <c r="AYV210" s="46"/>
      <c r="AYW210" s="46"/>
      <c r="AYX210" s="46"/>
      <c r="AYY210" s="46"/>
      <c r="AYZ210" s="46"/>
      <c r="AZA210" s="46"/>
      <c r="AZB210" s="46"/>
      <c r="AZC210" s="46"/>
      <c r="AZD210" s="46"/>
      <c r="AZE210" s="46"/>
      <c r="AZF210" s="46"/>
      <c r="AZG210" s="46"/>
      <c r="AZH210" s="46"/>
      <c r="AZI210" s="46"/>
      <c r="AZJ210" s="46"/>
      <c r="AZK210" s="46"/>
      <c r="AZL210" s="46"/>
      <c r="AZM210" s="46"/>
      <c r="AZN210" s="46"/>
      <c r="AZO210" s="46"/>
      <c r="AZP210" s="46"/>
      <c r="AZQ210" s="46"/>
      <c r="AZR210" s="46"/>
      <c r="AZS210" s="46"/>
      <c r="AZT210" s="46"/>
      <c r="AZU210" s="46"/>
      <c r="AZV210" s="46"/>
      <c r="AZW210" s="46"/>
      <c r="AZX210" s="46"/>
      <c r="AZY210" s="46"/>
      <c r="AZZ210" s="46"/>
      <c r="BAA210" s="46"/>
      <c r="BAB210" s="46"/>
      <c r="BAC210" s="46"/>
      <c r="BAD210" s="46"/>
      <c r="BAE210" s="46"/>
      <c r="BAF210" s="46"/>
      <c r="BAG210" s="46"/>
      <c r="BAH210" s="46"/>
      <c r="BAI210" s="46"/>
      <c r="BAJ210" s="46"/>
      <c r="BAK210" s="46"/>
      <c r="BAL210" s="46"/>
      <c r="BAM210" s="46"/>
      <c r="BAN210" s="46"/>
      <c r="BAO210" s="46"/>
      <c r="BAP210" s="46"/>
      <c r="BAQ210" s="46"/>
      <c r="BAR210" s="46"/>
      <c r="BAS210" s="46"/>
      <c r="BAT210" s="46"/>
      <c r="BAU210" s="46"/>
      <c r="BAV210" s="46"/>
      <c r="BAW210" s="46"/>
      <c r="BAX210" s="46"/>
      <c r="BAY210" s="46"/>
      <c r="BAZ210" s="46"/>
      <c r="BBA210" s="46"/>
      <c r="BBB210" s="46"/>
      <c r="BBC210" s="46"/>
      <c r="BBD210" s="46"/>
      <c r="BBE210" s="46"/>
      <c r="BBF210" s="46"/>
      <c r="BBG210" s="46"/>
      <c r="BBH210" s="46"/>
      <c r="BBI210" s="46"/>
      <c r="BBJ210" s="46"/>
      <c r="BBK210" s="46"/>
      <c r="BBL210" s="46"/>
      <c r="BBM210" s="46"/>
      <c r="BBN210" s="46"/>
      <c r="BBO210" s="46"/>
      <c r="BBP210" s="46"/>
      <c r="BBQ210" s="46"/>
      <c r="BBR210" s="46"/>
      <c r="BBS210" s="46"/>
      <c r="BBT210" s="46"/>
      <c r="BBU210" s="46"/>
      <c r="BBV210" s="46"/>
      <c r="BBW210" s="46"/>
      <c r="BBX210" s="46"/>
      <c r="BBY210" s="46"/>
      <c r="BBZ210" s="46"/>
      <c r="BCA210" s="46"/>
      <c r="BCB210" s="46"/>
      <c r="BCC210" s="46"/>
      <c r="BCD210" s="46"/>
      <c r="BCE210" s="46"/>
      <c r="BCF210" s="46"/>
      <c r="BCG210" s="46"/>
      <c r="BCH210" s="46"/>
      <c r="BCI210" s="46"/>
      <c r="BCJ210" s="46"/>
      <c r="BCK210" s="46"/>
      <c r="BCL210" s="46"/>
      <c r="BCM210" s="46"/>
      <c r="BCN210" s="46"/>
      <c r="BCO210" s="46"/>
      <c r="BCP210" s="46"/>
      <c r="BCQ210" s="46"/>
      <c r="BCR210" s="46"/>
      <c r="BCS210" s="46"/>
      <c r="BCT210" s="46"/>
      <c r="BCU210" s="46"/>
      <c r="BCV210" s="46"/>
      <c r="BCW210" s="46"/>
      <c r="BCX210" s="46"/>
      <c r="BCY210" s="46"/>
      <c r="BCZ210" s="46"/>
      <c r="BDA210" s="46"/>
      <c r="BDB210" s="46"/>
      <c r="BDC210" s="46"/>
      <c r="BDD210" s="46"/>
      <c r="BDE210" s="46"/>
      <c r="BDF210" s="46"/>
      <c r="BDG210" s="46"/>
      <c r="BDH210" s="46"/>
      <c r="BDI210" s="46"/>
      <c r="BDJ210" s="46"/>
      <c r="BDK210" s="46"/>
      <c r="BDL210" s="46"/>
      <c r="BDM210" s="46"/>
      <c r="BDN210" s="46"/>
      <c r="BDO210" s="46"/>
      <c r="BDP210" s="46"/>
      <c r="BDQ210" s="46"/>
      <c r="BDR210" s="46"/>
      <c r="BDS210" s="46"/>
      <c r="BDT210" s="46"/>
      <c r="BDU210" s="46"/>
      <c r="BDV210" s="46"/>
      <c r="BDW210" s="46"/>
      <c r="BDX210" s="46"/>
      <c r="BDY210" s="46"/>
      <c r="BDZ210" s="46"/>
      <c r="BEA210" s="46"/>
      <c r="BEB210" s="46"/>
      <c r="BEC210" s="46"/>
      <c r="BED210" s="46"/>
      <c r="BEE210" s="46"/>
      <c r="BEF210" s="46"/>
      <c r="BEG210" s="46"/>
      <c r="BEH210" s="46"/>
      <c r="BEI210" s="46"/>
      <c r="BEJ210" s="46"/>
      <c r="BEK210" s="46"/>
      <c r="BEL210" s="46"/>
      <c r="BEM210" s="46"/>
      <c r="BEN210" s="46"/>
      <c r="BEO210" s="46"/>
      <c r="BEP210" s="46"/>
      <c r="BEQ210" s="46"/>
      <c r="BER210" s="46"/>
      <c r="BES210" s="46"/>
      <c r="BET210" s="46"/>
      <c r="BEU210" s="46"/>
      <c r="BEV210" s="46"/>
      <c r="BEW210" s="46"/>
      <c r="BEX210" s="46"/>
      <c r="BEY210" s="46"/>
      <c r="BEZ210" s="46"/>
      <c r="BFA210" s="46"/>
      <c r="BFB210" s="46"/>
      <c r="BFC210" s="46"/>
      <c r="BFD210" s="46"/>
      <c r="BFE210" s="46"/>
      <c r="BFF210" s="46"/>
      <c r="BFG210" s="46"/>
      <c r="BFH210" s="46"/>
      <c r="BFI210" s="46"/>
      <c r="BFJ210" s="46"/>
      <c r="BFK210" s="46"/>
      <c r="BFL210" s="46"/>
      <c r="BFM210" s="46"/>
      <c r="BFN210" s="46"/>
      <c r="BFO210" s="46"/>
      <c r="BFP210" s="46"/>
      <c r="BFQ210" s="46"/>
      <c r="BFR210" s="46"/>
      <c r="BFS210" s="46"/>
      <c r="BFT210" s="46"/>
      <c r="BFU210" s="46"/>
      <c r="BFV210" s="46"/>
      <c r="BFW210" s="46"/>
      <c r="BFX210" s="46"/>
      <c r="BFY210" s="46"/>
      <c r="BFZ210" s="46"/>
      <c r="BGA210" s="46"/>
      <c r="BGB210" s="46"/>
      <c r="BGC210" s="46"/>
      <c r="BGD210" s="46"/>
      <c r="BGE210" s="46"/>
      <c r="BGF210" s="46"/>
      <c r="BGG210" s="46"/>
      <c r="BGH210" s="46"/>
      <c r="BGI210" s="46"/>
      <c r="BGJ210" s="46"/>
      <c r="BGK210" s="46"/>
      <c r="BGL210" s="46"/>
      <c r="BGM210" s="46"/>
      <c r="BGN210" s="46"/>
      <c r="BGO210" s="46"/>
      <c r="BGP210" s="46"/>
      <c r="BGQ210" s="46"/>
      <c r="BGR210" s="46"/>
      <c r="BGS210" s="46"/>
      <c r="BGT210" s="46"/>
      <c r="BGU210" s="46"/>
      <c r="BGV210" s="46"/>
      <c r="BGW210" s="46"/>
      <c r="BGX210" s="46"/>
      <c r="BGY210" s="46"/>
      <c r="BGZ210" s="46"/>
      <c r="BHA210" s="46"/>
      <c r="BHB210" s="46"/>
      <c r="BHC210" s="46"/>
      <c r="BHD210" s="46"/>
      <c r="BHE210" s="46"/>
      <c r="BHF210" s="46"/>
      <c r="BHG210" s="46"/>
      <c r="BHH210" s="46"/>
      <c r="BHI210" s="46"/>
      <c r="BHJ210" s="46"/>
      <c r="BHK210" s="46"/>
      <c r="BHL210" s="46"/>
      <c r="BHM210" s="46"/>
      <c r="BHN210" s="46"/>
      <c r="BHO210" s="46"/>
      <c r="BHP210" s="46"/>
      <c r="BHQ210" s="46"/>
      <c r="BHR210" s="46"/>
      <c r="BHS210" s="46"/>
      <c r="BHT210" s="46"/>
      <c r="BHU210" s="46"/>
      <c r="BHV210" s="46"/>
      <c r="BHW210" s="46"/>
      <c r="BHX210" s="46"/>
      <c r="BHY210" s="46"/>
      <c r="BHZ210" s="46"/>
      <c r="BIA210" s="46"/>
      <c r="BIB210" s="46"/>
      <c r="BIC210" s="46"/>
      <c r="BID210" s="46"/>
      <c r="BIE210" s="46"/>
      <c r="BIF210" s="46"/>
      <c r="BIG210" s="46"/>
      <c r="BIH210" s="46"/>
      <c r="BII210" s="46"/>
      <c r="BIJ210" s="46"/>
      <c r="BIK210" s="46"/>
      <c r="BIL210" s="46"/>
      <c r="BIM210" s="46"/>
      <c r="BIN210" s="46"/>
      <c r="BIO210" s="46"/>
      <c r="BIP210" s="46"/>
      <c r="BIQ210" s="46"/>
      <c r="BIR210" s="46"/>
      <c r="BIS210" s="46"/>
      <c r="BIT210" s="46"/>
      <c r="BIU210" s="46"/>
      <c r="BIV210" s="46"/>
      <c r="BIW210" s="46"/>
      <c r="BIX210" s="46"/>
      <c r="BIY210" s="46"/>
      <c r="BIZ210" s="46"/>
      <c r="BJA210" s="46"/>
      <c r="BJB210" s="46"/>
      <c r="BJC210" s="46"/>
      <c r="BJD210" s="46"/>
      <c r="BJE210" s="46"/>
      <c r="BJF210" s="46"/>
      <c r="BJG210" s="46"/>
      <c r="BJH210" s="46"/>
      <c r="BJI210" s="46"/>
      <c r="BJJ210" s="46"/>
      <c r="BJK210" s="46"/>
      <c r="BJL210" s="46"/>
      <c r="BJM210" s="46"/>
      <c r="BJN210" s="46"/>
      <c r="BJO210" s="46"/>
      <c r="BJP210" s="46"/>
      <c r="BJQ210" s="46"/>
      <c r="BJR210" s="46"/>
      <c r="BJS210" s="46"/>
      <c r="BJT210" s="46"/>
      <c r="BJU210" s="46"/>
      <c r="BJV210" s="46"/>
      <c r="BJW210" s="46"/>
      <c r="BJX210" s="46"/>
      <c r="BJY210" s="46"/>
      <c r="BJZ210" s="46"/>
      <c r="BKA210" s="46"/>
      <c r="BKB210" s="46"/>
      <c r="BKC210" s="46"/>
      <c r="BKD210" s="46"/>
      <c r="BKE210" s="46"/>
      <c r="BKF210" s="46"/>
      <c r="BKG210" s="46"/>
      <c r="BKH210" s="46"/>
      <c r="BKI210" s="46"/>
      <c r="BKJ210" s="46"/>
      <c r="BKK210" s="46"/>
      <c r="BKL210" s="46"/>
      <c r="BKM210" s="46"/>
      <c r="BKN210" s="46"/>
      <c r="BKO210" s="46"/>
      <c r="BKP210" s="46"/>
      <c r="BKQ210" s="46"/>
      <c r="BKR210" s="46"/>
      <c r="BKS210" s="46"/>
      <c r="BKT210" s="46"/>
      <c r="BKU210" s="46"/>
      <c r="BKV210" s="46"/>
      <c r="BKW210" s="46"/>
      <c r="BKX210" s="46"/>
      <c r="BKY210" s="46"/>
      <c r="BKZ210" s="46"/>
      <c r="BLA210" s="46"/>
      <c r="BLB210" s="46"/>
      <c r="BLC210" s="46"/>
      <c r="BLD210" s="46"/>
      <c r="BLE210" s="46"/>
      <c r="BLF210" s="46"/>
      <c r="BLG210" s="46"/>
      <c r="BLH210" s="46"/>
      <c r="BLI210" s="46"/>
      <c r="BLJ210" s="46"/>
      <c r="BLK210" s="46"/>
      <c r="BLL210" s="46"/>
      <c r="BLM210" s="46"/>
      <c r="BLN210" s="46"/>
      <c r="BLO210" s="46"/>
      <c r="BLP210" s="46"/>
      <c r="BLQ210" s="46"/>
      <c r="BLR210" s="46"/>
      <c r="BLS210" s="46"/>
      <c r="BLT210" s="46"/>
      <c r="BLU210" s="46"/>
      <c r="BLV210" s="46"/>
      <c r="BLW210" s="46"/>
      <c r="BLX210" s="46"/>
      <c r="BLY210" s="46"/>
      <c r="BLZ210" s="46"/>
      <c r="BMA210" s="46"/>
      <c r="BMB210" s="46"/>
      <c r="BMC210" s="46"/>
      <c r="BMD210" s="46"/>
      <c r="BME210" s="46"/>
      <c r="BMF210" s="46"/>
      <c r="BMG210" s="46"/>
      <c r="BMH210" s="46"/>
      <c r="BMI210" s="46"/>
      <c r="BMJ210" s="46"/>
      <c r="BMK210" s="46"/>
      <c r="BML210" s="46"/>
      <c r="BMM210" s="46"/>
      <c r="BMN210" s="46"/>
      <c r="BMO210" s="46"/>
      <c r="BMP210" s="46"/>
      <c r="BMQ210" s="46"/>
      <c r="BMR210" s="46"/>
      <c r="BMS210" s="46"/>
      <c r="BMT210" s="46"/>
      <c r="BMU210" s="46"/>
      <c r="BMV210" s="46"/>
      <c r="BMW210" s="46"/>
      <c r="BMX210" s="46"/>
      <c r="BMY210" s="46"/>
      <c r="BMZ210" s="46"/>
      <c r="BNA210" s="46"/>
      <c r="BNB210" s="46"/>
      <c r="BNC210" s="46"/>
      <c r="BND210" s="46"/>
      <c r="BNE210" s="46"/>
      <c r="BNF210" s="46"/>
      <c r="BNG210" s="46"/>
      <c r="BNH210" s="46"/>
      <c r="BNI210" s="46"/>
      <c r="BNJ210" s="46"/>
      <c r="BNK210" s="46"/>
      <c r="BNL210" s="46"/>
      <c r="BNM210" s="46"/>
      <c r="BNN210" s="46"/>
      <c r="BNO210" s="46"/>
      <c r="BNP210" s="46"/>
      <c r="BNQ210" s="46"/>
      <c r="BNR210" s="46"/>
      <c r="BNS210" s="46"/>
      <c r="BNT210" s="46"/>
      <c r="BNU210" s="46"/>
      <c r="BNV210" s="46"/>
      <c r="BNW210" s="46"/>
      <c r="BNX210" s="46"/>
      <c r="BNY210" s="46"/>
      <c r="BNZ210" s="46"/>
      <c r="BOA210" s="46"/>
      <c r="BOB210" s="46"/>
      <c r="BOC210" s="46"/>
      <c r="BOD210" s="46"/>
      <c r="BOE210" s="46"/>
      <c r="BOF210" s="46"/>
      <c r="BOG210" s="46"/>
      <c r="BOH210" s="46"/>
      <c r="BOI210" s="46"/>
      <c r="BOJ210" s="46"/>
      <c r="BOK210" s="46"/>
      <c r="BOL210" s="46"/>
      <c r="BOM210" s="46"/>
      <c r="BON210" s="46"/>
      <c r="BOO210" s="46"/>
      <c r="BOP210" s="46"/>
      <c r="BOQ210" s="46"/>
      <c r="BOR210" s="46"/>
      <c r="BOS210" s="46"/>
      <c r="BOT210" s="46"/>
      <c r="BOU210" s="46"/>
      <c r="BOV210" s="46"/>
      <c r="BOW210" s="46"/>
      <c r="BOX210" s="46"/>
      <c r="BOY210" s="46"/>
      <c r="BOZ210" s="46"/>
      <c r="BPA210" s="46"/>
      <c r="BPB210" s="46"/>
      <c r="BPC210" s="46"/>
      <c r="BPD210" s="46"/>
      <c r="BPE210" s="46"/>
      <c r="BPF210" s="46"/>
      <c r="BPG210" s="46"/>
      <c r="BPH210" s="46"/>
      <c r="BPI210" s="46"/>
      <c r="BPJ210" s="46"/>
      <c r="BPK210" s="46"/>
      <c r="BPL210" s="46"/>
      <c r="BPM210" s="46"/>
      <c r="BPN210" s="46"/>
      <c r="BPO210" s="46"/>
      <c r="BPP210" s="46"/>
      <c r="BPQ210" s="46"/>
      <c r="BPR210" s="46"/>
      <c r="BPS210" s="46"/>
      <c r="BPT210" s="46"/>
      <c r="BPU210" s="46"/>
      <c r="BPV210" s="46"/>
      <c r="BPW210" s="46"/>
      <c r="BPX210" s="46"/>
      <c r="BPY210" s="46"/>
      <c r="BPZ210" s="46"/>
      <c r="BQA210" s="46"/>
      <c r="BQB210" s="46"/>
      <c r="BQC210" s="46"/>
      <c r="BQD210" s="46"/>
      <c r="BQE210" s="46"/>
      <c r="BQF210" s="46"/>
      <c r="BQG210" s="46"/>
      <c r="BQH210" s="46"/>
      <c r="BQI210" s="46"/>
      <c r="BQJ210" s="46"/>
      <c r="BQK210" s="46"/>
      <c r="BQL210" s="46"/>
      <c r="BQM210" s="46"/>
      <c r="BQN210" s="46"/>
      <c r="BQO210" s="46"/>
      <c r="BQP210" s="46"/>
      <c r="BQQ210" s="46"/>
      <c r="BQR210" s="46"/>
      <c r="BQS210" s="46"/>
      <c r="BQT210" s="46"/>
      <c r="BQU210" s="46"/>
      <c r="BQV210" s="46"/>
      <c r="BQW210" s="46"/>
      <c r="BQX210" s="46"/>
      <c r="BQY210" s="46"/>
      <c r="BQZ210" s="46"/>
      <c r="BRA210" s="46"/>
      <c r="BRB210" s="46"/>
      <c r="BRC210" s="46"/>
      <c r="BRD210" s="46"/>
      <c r="BRE210" s="46"/>
      <c r="BRF210" s="46"/>
      <c r="BRG210" s="46"/>
      <c r="BRH210" s="46"/>
      <c r="BRI210" s="46"/>
      <c r="BRJ210" s="46"/>
      <c r="BRK210" s="46"/>
      <c r="BRL210" s="46"/>
      <c r="BRM210" s="46"/>
      <c r="BRN210" s="46"/>
      <c r="BRO210" s="46"/>
      <c r="BRP210" s="46"/>
      <c r="BRQ210" s="46"/>
      <c r="BRR210" s="46"/>
      <c r="BRS210" s="46"/>
      <c r="BRT210" s="46"/>
      <c r="BRU210" s="46"/>
      <c r="BRV210" s="46"/>
      <c r="BRW210" s="46"/>
      <c r="BRX210" s="46"/>
      <c r="BRY210" s="46"/>
      <c r="BRZ210" s="46"/>
      <c r="BSA210" s="46"/>
      <c r="BSB210" s="46"/>
      <c r="BSC210" s="46"/>
      <c r="BSD210" s="46"/>
      <c r="BSE210" s="46"/>
      <c r="BSF210" s="46"/>
      <c r="BSG210" s="46"/>
      <c r="BSH210" s="46"/>
      <c r="BSI210" s="46"/>
      <c r="BSJ210" s="46"/>
      <c r="BSK210" s="46"/>
      <c r="BSL210" s="46"/>
      <c r="BSM210" s="46"/>
      <c r="BSN210" s="46"/>
      <c r="BSO210" s="46"/>
      <c r="BSP210" s="46"/>
      <c r="BSQ210" s="46"/>
      <c r="BSR210" s="46"/>
      <c r="BSS210" s="46"/>
      <c r="BST210" s="46"/>
      <c r="BSU210" s="46"/>
      <c r="BSV210" s="46"/>
      <c r="BSW210" s="46"/>
      <c r="BSX210" s="46"/>
      <c r="BSY210" s="46"/>
      <c r="BSZ210" s="46"/>
      <c r="BTA210" s="46"/>
      <c r="BTB210" s="46"/>
      <c r="BTC210" s="46"/>
      <c r="BTD210" s="46"/>
      <c r="BTE210" s="46"/>
      <c r="BTF210" s="46"/>
      <c r="BTG210" s="46"/>
      <c r="BTH210" s="46"/>
      <c r="BTI210" s="46"/>
      <c r="BTJ210" s="46"/>
      <c r="BTK210" s="46"/>
      <c r="BTL210" s="46"/>
      <c r="BTM210" s="46"/>
      <c r="BTN210" s="46"/>
      <c r="BTO210" s="46"/>
      <c r="BTP210" s="46"/>
      <c r="BTQ210" s="46"/>
      <c r="BTR210" s="46"/>
      <c r="BTS210" s="46"/>
      <c r="BTT210" s="46"/>
      <c r="BTU210" s="46"/>
      <c r="BTV210" s="46"/>
      <c r="BTW210" s="46"/>
      <c r="BTX210" s="46"/>
      <c r="BTY210" s="46"/>
      <c r="BTZ210" s="46"/>
      <c r="BUA210" s="46"/>
      <c r="BUB210" s="46"/>
      <c r="BUC210" s="46"/>
      <c r="BUD210" s="46"/>
      <c r="BUE210" s="46"/>
      <c r="BUF210" s="46"/>
      <c r="BUG210" s="46"/>
      <c r="BUH210" s="46"/>
      <c r="BUI210" s="46"/>
      <c r="BUJ210" s="46"/>
      <c r="BUK210" s="46"/>
      <c r="BUL210" s="46"/>
      <c r="BUM210" s="46"/>
      <c r="BUN210" s="46"/>
      <c r="BUO210" s="46"/>
      <c r="BUP210" s="46"/>
      <c r="BUQ210" s="46"/>
      <c r="BUR210" s="46"/>
      <c r="BUS210" s="46"/>
      <c r="BUT210" s="46"/>
      <c r="BUU210" s="46"/>
      <c r="BUV210" s="46"/>
      <c r="BUW210" s="46"/>
      <c r="BUX210" s="46"/>
      <c r="BUY210" s="46"/>
      <c r="BUZ210" s="46"/>
      <c r="BVA210" s="46"/>
      <c r="BVB210" s="46"/>
      <c r="BVC210" s="46"/>
      <c r="BVD210" s="46"/>
      <c r="BVE210" s="46"/>
      <c r="BVF210" s="46"/>
      <c r="BVG210" s="46"/>
      <c r="BVH210" s="46"/>
      <c r="BVI210" s="46"/>
      <c r="BVJ210" s="46"/>
      <c r="BVK210" s="46"/>
      <c r="BVL210" s="46"/>
      <c r="BVM210" s="46"/>
      <c r="BVN210" s="46"/>
      <c r="BVO210" s="46"/>
      <c r="BVP210" s="46"/>
      <c r="BVQ210" s="46"/>
      <c r="BVR210" s="46"/>
      <c r="BVS210" s="46"/>
      <c r="BVT210" s="46"/>
      <c r="BVU210" s="46"/>
      <c r="BVV210" s="46"/>
      <c r="BVW210" s="46"/>
      <c r="BVX210" s="46"/>
      <c r="BVY210" s="46"/>
      <c r="BVZ210" s="46"/>
      <c r="BWA210" s="46"/>
      <c r="BWB210" s="46"/>
      <c r="BWC210" s="46"/>
      <c r="BWD210" s="46"/>
      <c r="BWE210" s="46"/>
      <c r="BWF210" s="46"/>
      <c r="BWG210" s="46"/>
      <c r="BWH210" s="46"/>
      <c r="BWI210" s="46"/>
      <c r="BWJ210" s="46"/>
      <c r="BWK210" s="46"/>
      <c r="BWL210" s="46"/>
      <c r="BWM210" s="46"/>
      <c r="BWN210" s="46"/>
      <c r="BWO210" s="46"/>
      <c r="BWP210" s="46"/>
      <c r="BWQ210" s="46"/>
      <c r="BWR210" s="46"/>
      <c r="BWS210" s="46"/>
      <c r="BWT210" s="46"/>
      <c r="BWU210" s="46"/>
      <c r="BWV210" s="46"/>
      <c r="BWW210" s="46"/>
      <c r="BWX210" s="46"/>
      <c r="BWY210" s="46"/>
      <c r="BWZ210" s="46"/>
      <c r="BXA210" s="46"/>
      <c r="BXB210" s="46"/>
      <c r="BXC210" s="46"/>
      <c r="BXD210" s="46"/>
      <c r="BXE210" s="46"/>
      <c r="BXF210" s="46"/>
      <c r="BXG210" s="46"/>
      <c r="BXH210" s="46"/>
      <c r="BXI210" s="46"/>
      <c r="BXJ210" s="46"/>
      <c r="BXK210" s="46"/>
      <c r="BXL210" s="46"/>
      <c r="BXM210" s="46"/>
      <c r="BXN210" s="46"/>
      <c r="BXO210" s="46"/>
      <c r="BXP210" s="46"/>
      <c r="BXQ210" s="46"/>
      <c r="BXR210" s="46"/>
      <c r="BXS210" s="46"/>
      <c r="BXT210" s="46"/>
      <c r="BXU210" s="46"/>
      <c r="BXV210" s="46"/>
      <c r="BXW210" s="46"/>
      <c r="BXX210" s="46"/>
      <c r="BXY210" s="46"/>
      <c r="BXZ210" s="46"/>
      <c r="BYA210" s="46"/>
      <c r="BYB210" s="46"/>
      <c r="BYC210" s="46"/>
      <c r="BYD210" s="46"/>
      <c r="BYE210" s="46"/>
      <c r="BYF210" s="46"/>
      <c r="BYG210" s="46"/>
      <c r="BYH210" s="46"/>
      <c r="BYI210" s="46"/>
      <c r="BYJ210" s="46"/>
      <c r="BYK210" s="46"/>
      <c r="BYL210" s="46"/>
      <c r="BYM210" s="46"/>
      <c r="BYN210" s="46"/>
      <c r="BYO210" s="46"/>
      <c r="BYP210" s="46"/>
      <c r="BYQ210" s="46"/>
      <c r="BYR210" s="46"/>
      <c r="BYS210" s="46"/>
      <c r="BYT210" s="46"/>
      <c r="BYU210" s="46"/>
      <c r="BYV210" s="46"/>
      <c r="BYW210" s="46"/>
      <c r="BYX210" s="46"/>
      <c r="BYY210" s="46"/>
      <c r="BYZ210" s="46"/>
      <c r="BZA210" s="46"/>
      <c r="BZB210" s="46"/>
      <c r="BZC210" s="46"/>
      <c r="BZD210" s="46"/>
      <c r="BZE210" s="46"/>
      <c r="BZF210" s="46"/>
      <c r="BZG210" s="46"/>
      <c r="BZH210" s="46"/>
      <c r="BZI210" s="46"/>
      <c r="BZJ210" s="46"/>
      <c r="BZK210" s="46"/>
      <c r="BZL210" s="46"/>
      <c r="BZM210" s="46"/>
      <c r="BZN210" s="46"/>
      <c r="BZO210" s="46"/>
      <c r="BZP210" s="46"/>
      <c r="BZQ210" s="46"/>
      <c r="BZR210" s="46"/>
      <c r="BZS210" s="46"/>
      <c r="BZT210" s="46"/>
      <c r="BZU210" s="46"/>
      <c r="BZV210" s="46"/>
      <c r="BZW210" s="46"/>
      <c r="BZX210" s="46"/>
      <c r="BZY210" s="46"/>
      <c r="BZZ210" s="46"/>
      <c r="CAA210" s="46"/>
      <c r="CAB210" s="46"/>
      <c r="CAC210" s="46"/>
      <c r="CAD210" s="46"/>
      <c r="CAE210" s="46"/>
      <c r="CAF210" s="46"/>
      <c r="CAG210" s="46"/>
      <c r="CAH210" s="46"/>
      <c r="CAI210" s="46"/>
      <c r="CAJ210" s="46"/>
      <c r="CAK210" s="46"/>
      <c r="CAL210" s="46"/>
      <c r="CAM210" s="46"/>
      <c r="CAN210" s="46"/>
      <c r="CAO210" s="46"/>
      <c r="CAP210" s="46"/>
      <c r="CAQ210" s="46"/>
      <c r="CAR210" s="46"/>
      <c r="CAS210" s="46"/>
      <c r="CAT210" s="46"/>
      <c r="CAU210" s="46"/>
      <c r="CAV210" s="46"/>
      <c r="CAW210" s="46"/>
      <c r="CAX210" s="46"/>
      <c r="CAY210" s="46"/>
      <c r="CAZ210" s="46"/>
      <c r="CBA210" s="46"/>
      <c r="CBB210" s="46"/>
      <c r="CBC210" s="46"/>
      <c r="CBD210" s="46"/>
      <c r="CBE210" s="46"/>
      <c r="CBF210" s="46"/>
      <c r="CBG210" s="46"/>
      <c r="CBH210" s="46"/>
      <c r="CBI210" s="46"/>
      <c r="CBJ210" s="46"/>
      <c r="CBK210" s="46"/>
      <c r="CBL210" s="46"/>
      <c r="CBM210" s="46"/>
      <c r="CBN210" s="46"/>
      <c r="CBO210" s="46"/>
      <c r="CBP210" s="46"/>
      <c r="CBQ210" s="46"/>
      <c r="CBR210" s="46"/>
      <c r="CBS210" s="46"/>
      <c r="CBT210" s="46"/>
      <c r="CBU210" s="46"/>
      <c r="CBV210" s="46"/>
      <c r="CBW210" s="46"/>
      <c r="CBX210" s="46"/>
      <c r="CBY210" s="46"/>
      <c r="CBZ210" s="46"/>
      <c r="CCA210" s="46"/>
      <c r="CCB210" s="46"/>
      <c r="CCC210" s="46"/>
      <c r="CCD210" s="46"/>
      <c r="CCE210" s="46"/>
      <c r="CCF210" s="46"/>
      <c r="CCG210" s="46"/>
      <c r="CCH210" s="46"/>
      <c r="CCI210" s="46"/>
      <c r="CCJ210" s="46"/>
      <c r="CCK210" s="46"/>
      <c r="CCL210" s="46"/>
      <c r="CCM210" s="46"/>
      <c r="CCN210" s="46"/>
      <c r="CCO210" s="46"/>
      <c r="CCP210" s="46"/>
      <c r="CCQ210" s="46"/>
      <c r="CCR210" s="46"/>
      <c r="CCS210" s="46"/>
      <c r="CCT210" s="46"/>
      <c r="CCU210" s="46"/>
      <c r="CCV210" s="46"/>
      <c r="CCW210" s="46"/>
      <c r="CCX210" s="46"/>
      <c r="CCY210" s="46"/>
      <c r="CCZ210" s="46"/>
      <c r="CDA210" s="46"/>
      <c r="CDB210" s="46"/>
      <c r="CDC210" s="46"/>
      <c r="CDD210" s="46"/>
      <c r="CDE210" s="46"/>
      <c r="CDF210" s="46"/>
      <c r="CDG210" s="46"/>
      <c r="CDH210" s="46"/>
      <c r="CDI210" s="46"/>
      <c r="CDJ210" s="46"/>
      <c r="CDK210" s="46"/>
      <c r="CDL210" s="46"/>
      <c r="CDM210" s="46"/>
      <c r="CDN210" s="46"/>
      <c r="CDO210" s="46"/>
      <c r="CDP210" s="46"/>
      <c r="CDQ210" s="46"/>
      <c r="CDR210" s="46"/>
      <c r="CDS210" s="46"/>
      <c r="CDT210" s="46"/>
      <c r="CDU210" s="46"/>
      <c r="CDV210" s="46"/>
      <c r="CDW210" s="46"/>
      <c r="CDX210" s="46"/>
      <c r="CDY210" s="46"/>
      <c r="CDZ210" s="46"/>
      <c r="CEA210" s="46"/>
      <c r="CEB210" s="46"/>
      <c r="CEC210" s="46"/>
      <c r="CED210" s="46"/>
      <c r="CEE210" s="46"/>
      <c r="CEF210" s="46"/>
      <c r="CEG210" s="46"/>
      <c r="CEH210" s="46"/>
      <c r="CEI210" s="46"/>
      <c r="CEJ210" s="46"/>
      <c r="CEK210" s="46"/>
      <c r="CEL210" s="46"/>
      <c r="CEM210" s="46"/>
      <c r="CEN210" s="46"/>
      <c r="CEO210" s="46"/>
      <c r="CEP210" s="46"/>
      <c r="CEQ210" s="46"/>
      <c r="CER210" s="46"/>
      <c r="CES210" s="46"/>
      <c r="CET210" s="46"/>
      <c r="CEU210" s="46"/>
      <c r="CEV210" s="46"/>
      <c r="CEW210" s="46"/>
      <c r="CEX210" s="46"/>
      <c r="CEY210" s="46"/>
      <c r="CEZ210" s="46"/>
      <c r="CFA210" s="46"/>
      <c r="CFB210" s="46"/>
      <c r="CFC210" s="46"/>
      <c r="CFD210" s="46"/>
      <c r="CFE210" s="46"/>
      <c r="CFF210" s="46"/>
      <c r="CFG210" s="46"/>
      <c r="CFH210" s="46"/>
      <c r="CFI210" s="46"/>
      <c r="CFJ210" s="46"/>
      <c r="CFK210" s="46"/>
      <c r="CFL210" s="46"/>
      <c r="CFM210" s="46"/>
      <c r="CFN210" s="46"/>
      <c r="CFO210" s="46"/>
      <c r="CFP210" s="46"/>
      <c r="CFQ210" s="46"/>
      <c r="CFR210" s="46"/>
      <c r="CFS210" s="46"/>
      <c r="CFT210" s="46"/>
      <c r="CFU210" s="46"/>
      <c r="CFV210" s="46"/>
      <c r="CFW210" s="46"/>
      <c r="CFX210" s="46"/>
      <c r="CFY210" s="46"/>
      <c r="CFZ210" s="46"/>
      <c r="CGA210" s="46"/>
      <c r="CGB210" s="46"/>
      <c r="CGC210" s="46"/>
      <c r="CGD210" s="46"/>
      <c r="CGE210" s="46"/>
      <c r="CGF210" s="46"/>
      <c r="CGG210" s="46"/>
      <c r="CGH210" s="46"/>
      <c r="CGI210" s="46"/>
      <c r="CGJ210" s="46"/>
      <c r="CGK210" s="46"/>
      <c r="CGL210" s="46"/>
      <c r="CGM210" s="46"/>
      <c r="CGN210" s="46"/>
      <c r="CGO210" s="46"/>
      <c r="CGP210" s="46"/>
      <c r="CGQ210" s="46"/>
      <c r="CGR210" s="46"/>
      <c r="CGS210" s="46"/>
      <c r="CGT210" s="46"/>
      <c r="CGU210" s="46"/>
      <c r="CGV210" s="46"/>
      <c r="CGW210" s="46"/>
      <c r="CGX210" s="46"/>
      <c r="CGY210" s="46"/>
      <c r="CGZ210" s="46"/>
      <c r="CHA210" s="46"/>
      <c r="CHB210" s="46"/>
      <c r="CHC210" s="46"/>
      <c r="CHD210" s="46"/>
      <c r="CHE210" s="46"/>
      <c r="CHF210" s="46"/>
      <c r="CHG210" s="46"/>
      <c r="CHH210" s="46"/>
      <c r="CHI210" s="46"/>
      <c r="CHJ210" s="46"/>
      <c r="CHK210" s="46"/>
      <c r="CHL210" s="46"/>
      <c r="CHM210" s="46"/>
      <c r="CHN210" s="46"/>
      <c r="CHO210" s="46"/>
      <c r="CHP210" s="46"/>
      <c r="CHQ210" s="46"/>
      <c r="CHR210" s="46"/>
      <c r="CHS210" s="46"/>
      <c r="CHT210" s="46"/>
      <c r="CHU210" s="46"/>
      <c r="CHV210" s="46"/>
      <c r="CHW210" s="46"/>
      <c r="CHX210" s="46"/>
      <c r="CHY210" s="46"/>
      <c r="CHZ210" s="46"/>
      <c r="CIA210" s="46"/>
      <c r="CIB210" s="46"/>
      <c r="CIC210" s="46"/>
      <c r="CID210" s="46"/>
      <c r="CIE210" s="46"/>
      <c r="CIF210" s="46"/>
      <c r="CIG210" s="46"/>
      <c r="CIH210" s="46"/>
      <c r="CII210" s="46"/>
      <c r="CIJ210" s="46"/>
      <c r="CIK210" s="46"/>
      <c r="CIL210" s="46"/>
      <c r="CIM210" s="46"/>
      <c r="CIN210" s="46"/>
      <c r="CIO210" s="46"/>
      <c r="CIP210" s="46"/>
      <c r="CIQ210" s="46"/>
      <c r="CIR210" s="46"/>
      <c r="CIS210" s="46"/>
      <c r="CIT210" s="46"/>
      <c r="CIU210" s="46"/>
      <c r="CIV210" s="46"/>
      <c r="CIW210" s="46"/>
      <c r="CIX210" s="46"/>
      <c r="CIY210" s="46"/>
      <c r="CIZ210" s="46"/>
      <c r="CJA210" s="46"/>
      <c r="CJB210" s="46"/>
      <c r="CJC210" s="46"/>
      <c r="CJD210" s="46"/>
      <c r="CJE210" s="46"/>
      <c r="CJF210" s="46"/>
      <c r="CJG210" s="46"/>
      <c r="CJH210" s="46"/>
      <c r="CJI210" s="46"/>
      <c r="CJJ210" s="46"/>
      <c r="CJK210" s="46"/>
      <c r="CJL210" s="46"/>
      <c r="CJM210" s="46"/>
      <c r="CJN210" s="46"/>
      <c r="CJO210" s="46"/>
      <c r="CJP210" s="46"/>
      <c r="CJQ210" s="46"/>
      <c r="CJR210" s="46"/>
      <c r="CJS210" s="46"/>
      <c r="CJT210" s="46"/>
      <c r="CJU210" s="46"/>
      <c r="CJV210" s="46"/>
      <c r="CJW210" s="46"/>
      <c r="CJX210" s="46"/>
      <c r="CJY210" s="46"/>
      <c r="CJZ210" s="46"/>
      <c r="CKA210" s="46"/>
      <c r="CKB210" s="46"/>
      <c r="CKC210" s="46"/>
      <c r="CKD210" s="46"/>
      <c r="CKE210" s="46"/>
      <c r="CKF210" s="46"/>
      <c r="CKG210" s="46"/>
      <c r="CKH210" s="46"/>
      <c r="CKI210" s="46"/>
      <c r="CKJ210" s="46"/>
      <c r="CKK210" s="46"/>
      <c r="CKL210" s="46"/>
      <c r="CKM210" s="46"/>
      <c r="CKN210" s="46"/>
      <c r="CKO210" s="46"/>
      <c r="CKP210" s="46"/>
      <c r="CKQ210" s="46"/>
      <c r="CKR210" s="46"/>
      <c r="CKS210" s="46"/>
      <c r="CKT210" s="46"/>
      <c r="CKU210" s="46"/>
      <c r="CKV210" s="46"/>
      <c r="CKW210" s="46"/>
      <c r="CKX210" s="46"/>
      <c r="CKY210" s="46"/>
      <c r="CKZ210" s="46"/>
      <c r="CLA210" s="46"/>
      <c r="CLB210" s="46"/>
      <c r="CLC210" s="46"/>
      <c r="CLD210" s="46"/>
      <c r="CLE210" s="46"/>
      <c r="CLF210" s="46"/>
      <c r="CLG210" s="46"/>
      <c r="CLH210" s="46"/>
      <c r="CLI210" s="46"/>
      <c r="CLJ210" s="46"/>
      <c r="CLK210" s="46"/>
      <c r="CLL210" s="46"/>
      <c r="CLM210" s="46"/>
      <c r="CLN210" s="46"/>
      <c r="CLO210" s="46"/>
      <c r="CLP210" s="46"/>
      <c r="CLQ210" s="46"/>
      <c r="CLR210" s="46"/>
      <c r="CLS210" s="46"/>
      <c r="CLT210" s="46"/>
      <c r="CLU210" s="46"/>
      <c r="CLV210" s="46"/>
      <c r="CLW210" s="46"/>
      <c r="CLX210" s="46"/>
      <c r="CLY210" s="46"/>
      <c r="CLZ210" s="46"/>
      <c r="CMA210" s="46"/>
      <c r="CMB210" s="46"/>
      <c r="CMC210" s="46"/>
      <c r="CMD210" s="46"/>
      <c r="CME210" s="46"/>
      <c r="CMF210" s="46"/>
      <c r="CMG210" s="46"/>
      <c r="CMH210" s="46"/>
      <c r="CMI210" s="46"/>
      <c r="CMJ210" s="46"/>
      <c r="CMK210" s="46"/>
      <c r="CML210" s="46"/>
      <c r="CMM210" s="46"/>
      <c r="CMN210" s="46"/>
      <c r="CMO210" s="46"/>
      <c r="CMP210" s="46"/>
      <c r="CMQ210" s="46"/>
      <c r="CMR210" s="46"/>
      <c r="CMS210" s="46"/>
      <c r="CMT210" s="46"/>
      <c r="CMU210" s="46"/>
      <c r="CMV210" s="46"/>
      <c r="CMW210" s="46"/>
      <c r="CMX210" s="46"/>
      <c r="CMY210" s="46"/>
      <c r="CMZ210" s="46"/>
      <c r="CNA210" s="46"/>
      <c r="CNB210" s="46"/>
      <c r="CNC210" s="46"/>
      <c r="CND210" s="46"/>
      <c r="CNE210" s="46"/>
      <c r="CNF210" s="46"/>
      <c r="CNG210" s="46"/>
      <c r="CNH210" s="46"/>
      <c r="CNI210" s="46"/>
      <c r="CNJ210" s="46"/>
      <c r="CNK210" s="46"/>
      <c r="CNL210" s="46"/>
      <c r="CNM210" s="46"/>
      <c r="CNN210" s="46"/>
      <c r="CNO210" s="46"/>
      <c r="CNP210" s="46"/>
      <c r="CNQ210" s="46"/>
      <c r="CNR210" s="46"/>
      <c r="CNS210" s="46"/>
      <c r="CNT210" s="46"/>
      <c r="CNU210" s="46"/>
      <c r="CNV210" s="46"/>
      <c r="CNW210" s="46"/>
      <c r="CNX210" s="46"/>
      <c r="CNY210" s="46"/>
      <c r="CNZ210" s="46"/>
      <c r="COA210" s="46"/>
      <c r="COB210" s="46"/>
      <c r="COC210" s="46"/>
      <c r="COD210" s="46"/>
      <c r="COE210" s="46"/>
      <c r="COF210" s="46"/>
      <c r="COG210" s="46"/>
      <c r="COH210" s="46"/>
      <c r="COI210" s="46"/>
      <c r="COJ210" s="46"/>
      <c r="COK210" s="46"/>
      <c r="COL210" s="46"/>
      <c r="COM210" s="46"/>
      <c r="CON210" s="46"/>
      <c r="COO210" s="46"/>
      <c r="COP210" s="46"/>
      <c r="COQ210" s="46"/>
      <c r="COR210" s="46"/>
      <c r="COS210" s="46"/>
      <c r="COT210" s="46"/>
      <c r="COU210" s="46"/>
      <c r="COV210" s="46"/>
      <c r="COW210" s="46"/>
      <c r="COX210" s="46"/>
      <c r="COY210" s="46"/>
      <c r="COZ210" s="46"/>
      <c r="CPA210" s="46"/>
      <c r="CPB210" s="46"/>
      <c r="CPC210" s="46"/>
      <c r="CPD210" s="46"/>
      <c r="CPE210" s="46"/>
      <c r="CPF210" s="46"/>
      <c r="CPG210" s="46"/>
      <c r="CPH210" s="46"/>
      <c r="CPI210" s="46"/>
      <c r="CPJ210" s="46"/>
      <c r="CPK210" s="46"/>
      <c r="CPL210" s="46"/>
      <c r="CPM210" s="46"/>
      <c r="CPN210" s="46"/>
      <c r="CPO210" s="46"/>
      <c r="CPP210" s="46"/>
      <c r="CPQ210" s="46"/>
      <c r="CPR210" s="46"/>
      <c r="CPS210" s="46"/>
      <c r="CPT210" s="46"/>
      <c r="CPU210" s="46"/>
      <c r="CPV210" s="46"/>
      <c r="CPW210" s="46"/>
      <c r="CPX210" s="46"/>
      <c r="CPY210" s="46"/>
      <c r="CPZ210" s="46"/>
      <c r="CQA210" s="46"/>
      <c r="CQB210" s="46"/>
      <c r="CQC210" s="46"/>
      <c r="CQD210" s="46"/>
      <c r="CQE210" s="46"/>
      <c r="CQF210" s="46"/>
      <c r="CQG210" s="46"/>
      <c r="CQH210" s="46"/>
      <c r="CQI210" s="46"/>
      <c r="CQJ210" s="46"/>
      <c r="CQK210" s="46"/>
      <c r="CQL210" s="46"/>
      <c r="CQM210" s="46"/>
      <c r="CQN210" s="46"/>
      <c r="CQO210" s="46"/>
      <c r="CQP210" s="46"/>
      <c r="CQQ210" s="46"/>
      <c r="CQR210" s="46"/>
      <c r="CQS210" s="46"/>
      <c r="CQT210" s="46"/>
      <c r="CQU210" s="46"/>
      <c r="CQV210" s="46"/>
      <c r="CQW210" s="46"/>
      <c r="CQX210" s="46"/>
      <c r="CQY210" s="46"/>
      <c r="CQZ210" s="46"/>
      <c r="CRA210" s="46"/>
      <c r="CRB210" s="46"/>
      <c r="CRC210" s="46"/>
      <c r="CRD210" s="46"/>
      <c r="CRE210" s="46"/>
      <c r="CRF210" s="46"/>
      <c r="CRG210" s="46"/>
      <c r="CRH210" s="46"/>
      <c r="CRI210" s="46"/>
      <c r="CRJ210" s="46"/>
      <c r="CRK210" s="46"/>
      <c r="CRL210" s="46"/>
      <c r="CRM210" s="46"/>
      <c r="CRN210" s="46"/>
      <c r="CRO210" s="46"/>
      <c r="CRP210" s="46"/>
      <c r="CRQ210" s="46"/>
      <c r="CRR210" s="46"/>
      <c r="CRS210" s="46"/>
      <c r="CRT210" s="46"/>
      <c r="CRU210" s="46"/>
      <c r="CRV210" s="46"/>
      <c r="CRW210" s="46"/>
      <c r="CRX210" s="46"/>
      <c r="CRY210" s="46"/>
      <c r="CRZ210" s="46"/>
      <c r="CSA210" s="46"/>
      <c r="CSB210" s="46"/>
      <c r="CSC210" s="46"/>
      <c r="CSD210" s="46"/>
      <c r="CSE210" s="46"/>
      <c r="CSF210" s="46"/>
      <c r="CSG210" s="46"/>
      <c r="CSH210" s="46"/>
      <c r="CSI210" s="46"/>
      <c r="CSJ210" s="46"/>
      <c r="CSK210" s="46"/>
      <c r="CSL210" s="46"/>
      <c r="CSM210" s="46"/>
      <c r="CSN210" s="46"/>
      <c r="CSO210" s="46"/>
      <c r="CSP210" s="46"/>
      <c r="CSQ210" s="46"/>
      <c r="CSR210" s="46"/>
      <c r="CSS210" s="46"/>
      <c r="CST210" s="46"/>
      <c r="CSU210" s="46"/>
      <c r="CSV210" s="46"/>
      <c r="CSW210" s="46"/>
      <c r="CSX210" s="46"/>
      <c r="CSY210" s="46"/>
      <c r="CSZ210" s="46"/>
      <c r="CTA210" s="46"/>
      <c r="CTB210" s="46"/>
      <c r="CTC210" s="46"/>
      <c r="CTD210" s="46"/>
      <c r="CTE210" s="46"/>
      <c r="CTF210" s="46"/>
      <c r="CTG210" s="46"/>
      <c r="CTH210" s="46"/>
      <c r="CTI210" s="46"/>
      <c r="CTJ210" s="46"/>
      <c r="CTK210" s="46"/>
      <c r="CTL210" s="46"/>
      <c r="CTM210" s="46"/>
      <c r="CTN210" s="46"/>
      <c r="CTO210" s="46"/>
      <c r="CTP210" s="46"/>
      <c r="CTQ210" s="46"/>
      <c r="CTR210" s="46"/>
      <c r="CTS210" s="46"/>
      <c r="CTT210" s="46"/>
      <c r="CTU210" s="46"/>
      <c r="CTV210" s="46"/>
      <c r="CTW210" s="46"/>
      <c r="CTX210" s="46"/>
      <c r="CTY210" s="46"/>
      <c r="CTZ210" s="46"/>
      <c r="CUA210" s="46"/>
      <c r="CUB210" s="46"/>
      <c r="CUC210" s="46"/>
      <c r="CUD210" s="46"/>
      <c r="CUE210" s="46"/>
      <c r="CUF210" s="46"/>
      <c r="CUG210" s="46"/>
      <c r="CUH210" s="46"/>
      <c r="CUI210" s="46"/>
      <c r="CUJ210" s="46"/>
      <c r="CUK210" s="46"/>
      <c r="CUL210" s="46"/>
      <c r="CUM210" s="46"/>
      <c r="CUN210" s="46"/>
      <c r="CUO210" s="46"/>
      <c r="CUP210" s="46"/>
      <c r="CUQ210" s="46"/>
      <c r="CUR210" s="46"/>
      <c r="CUS210" s="46"/>
      <c r="CUT210" s="46"/>
      <c r="CUU210" s="46"/>
      <c r="CUV210" s="46"/>
      <c r="CUW210" s="46"/>
      <c r="CUX210" s="46"/>
      <c r="CUY210" s="46"/>
      <c r="CUZ210" s="46"/>
      <c r="CVA210" s="46"/>
      <c r="CVB210" s="46"/>
      <c r="CVC210" s="46"/>
      <c r="CVD210" s="46"/>
      <c r="CVE210" s="46"/>
      <c r="CVF210" s="46"/>
      <c r="CVG210" s="46"/>
      <c r="CVH210" s="46"/>
      <c r="CVI210" s="46"/>
      <c r="CVJ210" s="46"/>
      <c r="CVK210" s="46"/>
      <c r="CVL210" s="46"/>
      <c r="CVM210" s="46"/>
      <c r="CVN210" s="46"/>
      <c r="CVO210" s="46"/>
      <c r="CVP210" s="46"/>
      <c r="CVQ210" s="46"/>
      <c r="CVR210" s="46"/>
      <c r="CVS210" s="46"/>
      <c r="CVT210" s="46"/>
      <c r="CVU210" s="46"/>
      <c r="CVV210" s="46"/>
      <c r="CVW210" s="46"/>
      <c r="CVX210" s="46"/>
      <c r="CVY210" s="46"/>
      <c r="CVZ210" s="46"/>
      <c r="CWA210" s="46"/>
      <c r="CWB210" s="46"/>
      <c r="CWC210" s="46"/>
      <c r="CWD210" s="46"/>
      <c r="CWE210" s="46"/>
      <c r="CWF210" s="46"/>
      <c r="CWG210" s="46"/>
      <c r="CWH210" s="46"/>
      <c r="CWI210" s="46"/>
      <c r="CWJ210" s="46"/>
      <c r="CWK210" s="46"/>
      <c r="CWL210" s="46"/>
      <c r="CWM210" s="46"/>
      <c r="CWN210" s="46"/>
      <c r="CWO210" s="46"/>
      <c r="CWP210" s="46"/>
      <c r="CWQ210" s="46"/>
      <c r="CWR210" s="46"/>
      <c r="CWS210" s="46"/>
      <c r="CWT210" s="46"/>
      <c r="CWU210" s="46"/>
      <c r="CWV210" s="46"/>
      <c r="CWW210" s="46"/>
      <c r="CWX210" s="46"/>
      <c r="CWY210" s="46"/>
      <c r="CWZ210" s="46"/>
      <c r="CXA210" s="46"/>
      <c r="CXB210" s="46"/>
      <c r="CXC210" s="46"/>
      <c r="CXD210" s="46"/>
      <c r="CXE210" s="46"/>
      <c r="CXF210" s="46"/>
      <c r="CXG210" s="46"/>
      <c r="CXH210" s="46"/>
      <c r="CXI210" s="46"/>
      <c r="CXJ210" s="46"/>
      <c r="CXK210" s="46"/>
      <c r="CXL210" s="46"/>
      <c r="CXM210" s="46"/>
      <c r="CXN210" s="46"/>
      <c r="CXO210" s="46"/>
      <c r="CXP210" s="46"/>
      <c r="CXQ210" s="46"/>
      <c r="CXR210" s="46"/>
      <c r="CXS210" s="46"/>
      <c r="CXT210" s="46"/>
      <c r="CXU210" s="46"/>
      <c r="CXV210" s="46"/>
      <c r="CXW210" s="46"/>
      <c r="CXX210" s="46"/>
      <c r="CXY210" s="46"/>
      <c r="CXZ210" s="46"/>
      <c r="CYA210" s="46"/>
      <c r="CYB210" s="46"/>
      <c r="CYC210" s="46"/>
      <c r="CYD210" s="46"/>
      <c r="CYE210" s="46"/>
      <c r="CYF210" s="46"/>
      <c r="CYG210" s="46"/>
      <c r="CYH210" s="46"/>
      <c r="CYI210" s="46"/>
      <c r="CYJ210" s="46"/>
      <c r="CYK210" s="46"/>
      <c r="CYL210" s="46"/>
      <c r="CYM210" s="46"/>
      <c r="CYN210" s="46"/>
      <c r="CYO210" s="46"/>
      <c r="CYP210" s="46"/>
      <c r="CYQ210" s="46"/>
      <c r="CYR210" s="46"/>
      <c r="CYS210" s="46"/>
      <c r="CYT210" s="46"/>
      <c r="CYU210" s="46"/>
      <c r="CYV210" s="46"/>
      <c r="CYW210" s="46"/>
      <c r="CYX210" s="46"/>
      <c r="CYY210" s="46"/>
      <c r="CYZ210" s="46"/>
      <c r="CZA210" s="46"/>
      <c r="CZB210" s="46"/>
      <c r="CZC210" s="46"/>
      <c r="CZD210" s="46"/>
      <c r="CZE210" s="46"/>
      <c r="CZF210" s="46"/>
      <c r="CZG210" s="46"/>
      <c r="CZH210" s="46"/>
      <c r="CZI210" s="46"/>
      <c r="CZJ210" s="46"/>
      <c r="CZK210" s="46"/>
      <c r="CZL210" s="46"/>
      <c r="CZM210" s="46"/>
      <c r="CZN210" s="46"/>
      <c r="CZO210" s="46"/>
      <c r="CZP210" s="46"/>
      <c r="CZQ210" s="46"/>
      <c r="CZR210" s="46"/>
      <c r="CZS210" s="46"/>
      <c r="CZT210" s="46"/>
      <c r="CZU210" s="46"/>
      <c r="CZV210" s="46"/>
      <c r="CZW210" s="46"/>
      <c r="CZX210" s="46"/>
      <c r="CZY210" s="46"/>
      <c r="CZZ210" s="46"/>
      <c r="DAA210" s="46"/>
      <c r="DAB210" s="46"/>
      <c r="DAC210" s="46"/>
      <c r="DAD210" s="46"/>
      <c r="DAE210" s="46"/>
      <c r="DAF210" s="46"/>
      <c r="DAG210" s="46"/>
      <c r="DAH210" s="46"/>
      <c r="DAI210" s="46"/>
      <c r="DAJ210" s="46"/>
      <c r="DAK210" s="46"/>
      <c r="DAL210" s="46"/>
      <c r="DAM210" s="46"/>
      <c r="DAN210" s="46"/>
      <c r="DAO210" s="46"/>
      <c r="DAP210" s="46"/>
      <c r="DAQ210" s="46"/>
      <c r="DAR210" s="46"/>
      <c r="DAS210" s="46"/>
      <c r="DAT210" s="46"/>
      <c r="DAU210" s="46"/>
      <c r="DAV210" s="46"/>
      <c r="DAW210" s="46"/>
      <c r="DAX210" s="46"/>
      <c r="DAY210" s="46"/>
      <c r="DAZ210" s="46"/>
      <c r="DBA210" s="46"/>
      <c r="DBB210" s="46"/>
      <c r="DBC210" s="46"/>
      <c r="DBD210" s="46"/>
      <c r="DBE210" s="46"/>
      <c r="DBF210" s="46"/>
      <c r="DBG210" s="46"/>
      <c r="DBH210" s="46"/>
      <c r="DBI210" s="46"/>
      <c r="DBJ210" s="46"/>
      <c r="DBK210" s="46"/>
      <c r="DBL210" s="46"/>
      <c r="DBM210" s="46"/>
      <c r="DBN210" s="46"/>
      <c r="DBO210" s="46"/>
      <c r="DBP210" s="46"/>
      <c r="DBQ210" s="46"/>
      <c r="DBR210" s="46"/>
      <c r="DBS210" s="46"/>
      <c r="DBT210" s="46"/>
      <c r="DBU210" s="46"/>
      <c r="DBV210" s="46"/>
      <c r="DBW210" s="46"/>
      <c r="DBX210" s="46"/>
      <c r="DBY210" s="46"/>
      <c r="DBZ210" s="46"/>
      <c r="DCA210" s="46"/>
      <c r="DCB210" s="46"/>
      <c r="DCC210" s="46"/>
      <c r="DCD210" s="46"/>
      <c r="DCE210" s="46"/>
      <c r="DCF210" s="46"/>
      <c r="DCG210" s="46"/>
      <c r="DCH210" s="46"/>
      <c r="DCI210" s="46"/>
      <c r="DCJ210" s="46"/>
      <c r="DCK210" s="46"/>
      <c r="DCL210" s="46"/>
      <c r="DCM210" s="46"/>
      <c r="DCN210" s="46"/>
      <c r="DCO210" s="46"/>
      <c r="DCP210" s="46"/>
      <c r="DCQ210" s="46"/>
      <c r="DCR210" s="46"/>
      <c r="DCS210" s="46"/>
      <c r="DCT210" s="46"/>
      <c r="DCU210" s="46"/>
      <c r="DCV210" s="46"/>
      <c r="DCW210" s="46"/>
      <c r="DCX210" s="46"/>
      <c r="DCY210" s="46"/>
      <c r="DCZ210" s="46"/>
      <c r="DDA210" s="46"/>
      <c r="DDB210" s="46"/>
      <c r="DDC210" s="46"/>
      <c r="DDD210" s="46"/>
      <c r="DDE210" s="46"/>
      <c r="DDF210" s="46"/>
      <c r="DDG210" s="46"/>
      <c r="DDH210" s="46"/>
      <c r="DDI210" s="46"/>
      <c r="DDJ210" s="46"/>
      <c r="DDK210" s="46"/>
      <c r="DDL210" s="46"/>
      <c r="DDM210" s="46"/>
      <c r="DDN210" s="46"/>
      <c r="DDO210" s="46"/>
      <c r="DDP210" s="46"/>
      <c r="DDQ210" s="46"/>
      <c r="DDR210" s="46"/>
      <c r="DDS210" s="46"/>
      <c r="DDT210" s="46"/>
      <c r="DDU210" s="46"/>
      <c r="DDV210" s="46"/>
      <c r="DDW210" s="46"/>
      <c r="DDX210" s="46"/>
      <c r="DDY210" s="46"/>
      <c r="DDZ210" s="46"/>
      <c r="DEA210" s="46"/>
      <c r="DEB210" s="46"/>
      <c r="DEC210" s="46"/>
      <c r="DED210" s="46"/>
      <c r="DEE210" s="46"/>
      <c r="DEF210" s="46"/>
      <c r="DEG210" s="46"/>
      <c r="DEH210" s="46"/>
      <c r="DEI210" s="46"/>
      <c r="DEJ210" s="46"/>
      <c r="DEK210" s="46"/>
      <c r="DEL210" s="46"/>
      <c r="DEM210" s="46"/>
      <c r="DEN210" s="46"/>
      <c r="DEO210" s="46"/>
      <c r="DEP210" s="46"/>
      <c r="DEQ210" s="46"/>
      <c r="DER210" s="46"/>
      <c r="DES210" s="46"/>
      <c r="DET210" s="46"/>
      <c r="DEU210" s="46"/>
      <c r="DEV210" s="46"/>
      <c r="DEW210" s="46"/>
      <c r="DEX210" s="46"/>
      <c r="DEY210" s="46"/>
      <c r="DEZ210" s="46"/>
      <c r="DFA210" s="46"/>
      <c r="DFB210" s="46"/>
      <c r="DFC210" s="46"/>
      <c r="DFD210" s="46"/>
      <c r="DFE210" s="46"/>
      <c r="DFF210" s="46"/>
      <c r="DFG210" s="46"/>
      <c r="DFH210" s="46"/>
      <c r="DFI210" s="46"/>
      <c r="DFJ210" s="46"/>
      <c r="DFK210" s="46"/>
      <c r="DFL210" s="46"/>
      <c r="DFM210" s="46"/>
      <c r="DFN210" s="46"/>
      <c r="DFO210" s="46"/>
      <c r="DFP210" s="46"/>
      <c r="DFQ210" s="46"/>
      <c r="DFR210" s="46"/>
      <c r="DFS210" s="46"/>
      <c r="DFT210" s="46"/>
      <c r="DFU210" s="46"/>
      <c r="DFV210" s="46"/>
      <c r="DFW210" s="46"/>
      <c r="DFX210" s="46"/>
      <c r="DFY210" s="46"/>
      <c r="DFZ210" s="46"/>
      <c r="DGA210" s="46"/>
      <c r="DGB210" s="46"/>
      <c r="DGC210" s="46"/>
      <c r="DGD210" s="46"/>
      <c r="DGE210" s="46"/>
      <c r="DGF210" s="46"/>
      <c r="DGG210" s="46"/>
      <c r="DGH210" s="46"/>
      <c r="DGI210" s="46"/>
      <c r="DGJ210" s="46"/>
      <c r="DGK210" s="46"/>
      <c r="DGL210" s="46"/>
      <c r="DGM210" s="46"/>
      <c r="DGN210" s="46"/>
      <c r="DGO210" s="46"/>
      <c r="DGP210" s="46"/>
      <c r="DGQ210" s="46"/>
      <c r="DGR210" s="46"/>
      <c r="DGS210" s="46"/>
      <c r="DGT210" s="46"/>
      <c r="DGU210" s="46"/>
      <c r="DGV210" s="46"/>
      <c r="DGW210" s="46"/>
      <c r="DGX210" s="46"/>
      <c r="DGY210" s="46"/>
      <c r="DGZ210" s="46"/>
      <c r="DHA210" s="46"/>
      <c r="DHB210" s="46"/>
      <c r="DHC210" s="46"/>
      <c r="DHD210" s="46"/>
      <c r="DHE210" s="46"/>
      <c r="DHF210" s="46"/>
      <c r="DHG210" s="46"/>
      <c r="DHH210" s="46"/>
      <c r="DHI210" s="46"/>
      <c r="DHJ210" s="46"/>
      <c r="DHK210" s="46"/>
      <c r="DHL210" s="46"/>
      <c r="DHM210" s="46"/>
      <c r="DHN210" s="46"/>
      <c r="DHO210" s="46"/>
      <c r="DHP210" s="46"/>
      <c r="DHQ210" s="46"/>
      <c r="DHR210" s="46"/>
      <c r="DHS210" s="46"/>
      <c r="DHT210" s="46"/>
      <c r="DHU210" s="46"/>
      <c r="DHV210" s="46"/>
      <c r="DHW210" s="46"/>
      <c r="DHX210" s="46"/>
      <c r="DHY210" s="46"/>
      <c r="DHZ210" s="46"/>
      <c r="DIA210" s="46"/>
      <c r="DIB210" s="46"/>
      <c r="DIC210" s="46"/>
      <c r="DID210" s="46"/>
      <c r="DIE210" s="46"/>
      <c r="DIF210" s="46"/>
      <c r="DIG210" s="46"/>
      <c r="DIH210" s="46"/>
      <c r="DII210" s="46"/>
      <c r="DIJ210" s="46"/>
      <c r="DIK210" s="46"/>
      <c r="DIL210" s="46"/>
      <c r="DIM210" s="46"/>
      <c r="DIN210" s="46"/>
      <c r="DIO210" s="46"/>
      <c r="DIP210" s="46"/>
      <c r="DIQ210" s="46"/>
      <c r="DIR210" s="46"/>
      <c r="DIS210" s="46"/>
      <c r="DIT210" s="46"/>
      <c r="DIU210" s="46"/>
      <c r="DIV210" s="46"/>
      <c r="DIW210" s="46"/>
      <c r="DIX210" s="46"/>
      <c r="DIY210" s="46"/>
      <c r="DIZ210" s="46"/>
      <c r="DJA210" s="46"/>
      <c r="DJB210" s="46"/>
      <c r="DJC210" s="46"/>
      <c r="DJD210" s="46"/>
      <c r="DJE210" s="46"/>
      <c r="DJF210" s="46"/>
      <c r="DJG210" s="46"/>
      <c r="DJH210" s="46"/>
      <c r="DJI210" s="46"/>
      <c r="DJJ210" s="46"/>
      <c r="DJK210" s="46"/>
      <c r="DJL210" s="46"/>
      <c r="DJM210" s="46"/>
      <c r="DJN210" s="46"/>
      <c r="DJO210" s="46"/>
      <c r="DJP210" s="46"/>
      <c r="DJQ210" s="46"/>
      <c r="DJR210" s="46"/>
      <c r="DJS210" s="46"/>
      <c r="DJT210" s="46"/>
      <c r="DJU210" s="46"/>
      <c r="DJV210" s="46"/>
      <c r="DJW210" s="46"/>
      <c r="DJX210" s="46"/>
      <c r="DJY210" s="46"/>
      <c r="DJZ210" s="46"/>
      <c r="DKA210" s="46"/>
      <c r="DKB210" s="46"/>
      <c r="DKC210" s="46"/>
      <c r="DKD210" s="46"/>
      <c r="DKE210" s="46"/>
      <c r="DKF210" s="46"/>
      <c r="DKG210" s="46"/>
      <c r="DKH210" s="46"/>
      <c r="DKI210" s="46"/>
      <c r="DKJ210" s="46"/>
      <c r="DKK210" s="46"/>
      <c r="DKL210" s="46"/>
      <c r="DKM210" s="46"/>
      <c r="DKN210" s="46"/>
      <c r="DKO210" s="46"/>
      <c r="DKP210" s="46"/>
      <c r="DKQ210" s="46"/>
      <c r="DKR210" s="46"/>
      <c r="DKS210" s="46"/>
      <c r="DKT210" s="46"/>
      <c r="DKU210" s="46"/>
      <c r="DKV210" s="46"/>
      <c r="DKW210" s="46"/>
      <c r="DKX210" s="46"/>
      <c r="DKY210" s="46"/>
      <c r="DKZ210" s="46"/>
      <c r="DLA210" s="46"/>
      <c r="DLB210" s="46"/>
      <c r="DLC210" s="46"/>
      <c r="DLD210" s="46"/>
      <c r="DLE210" s="46"/>
      <c r="DLF210" s="46"/>
      <c r="DLG210" s="46"/>
      <c r="DLH210" s="46"/>
      <c r="DLI210" s="46"/>
      <c r="DLJ210" s="46"/>
      <c r="DLK210" s="46"/>
      <c r="DLL210" s="46"/>
      <c r="DLM210" s="46"/>
      <c r="DLN210" s="46"/>
      <c r="DLO210" s="46"/>
      <c r="DLP210" s="46"/>
      <c r="DLQ210" s="46"/>
      <c r="DLR210" s="46"/>
      <c r="DLS210" s="46"/>
      <c r="DLT210" s="46"/>
      <c r="DLU210" s="46"/>
      <c r="DLV210" s="46"/>
      <c r="DLW210" s="46"/>
      <c r="DLX210" s="46"/>
      <c r="DLY210" s="46"/>
      <c r="DLZ210" s="46"/>
      <c r="DMA210" s="46"/>
      <c r="DMB210" s="46"/>
      <c r="DMC210" s="46"/>
      <c r="DMD210" s="46"/>
      <c r="DME210" s="46"/>
      <c r="DMF210" s="46"/>
      <c r="DMG210" s="46"/>
      <c r="DMH210" s="46"/>
      <c r="DMI210" s="46"/>
      <c r="DMJ210" s="46"/>
      <c r="DMK210" s="46"/>
      <c r="DML210" s="46"/>
      <c r="DMM210" s="46"/>
      <c r="DMN210" s="46"/>
      <c r="DMO210" s="46"/>
      <c r="DMP210" s="46"/>
      <c r="DMQ210" s="46"/>
      <c r="DMR210" s="46"/>
      <c r="DMS210" s="46"/>
      <c r="DMT210" s="46"/>
      <c r="DMU210" s="46"/>
      <c r="DMV210" s="46"/>
      <c r="DMW210" s="46"/>
      <c r="DMX210" s="46"/>
      <c r="DMY210" s="46"/>
      <c r="DMZ210" s="46"/>
      <c r="DNA210" s="46"/>
      <c r="DNB210" s="46"/>
      <c r="DNC210" s="46"/>
      <c r="DND210" s="46"/>
      <c r="DNE210" s="46"/>
      <c r="DNF210" s="46"/>
      <c r="DNG210" s="46"/>
      <c r="DNH210" s="46"/>
      <c r="DNI210" s="46"/>
      <c r="DNJ210" s="46"/>
      <c r="DNK210" s="46"/>
      <c r="DNL210" s="46"/>
      <c r="DNM210" s="46"/>
      <c r="DNN210" s="46"/>
      <c r="DNO210" s="46"/>
      <c r="DNP210" s="46"/>
      <c r="DNQ210" s="46"/>
      <c r="DNR210" s="46"/>
      <c r="DNS210" s="46"/>
      <c r="DNT210" s="46"/>
      <c r="DNU210" s="46"/>
      <c r="DNV210" s="46"/>
      <c r="DNW210" s="46"/>
      <c r="DNX210" s="46"/>
      <c r="DNY210" s="46"/>
      <c r="DNZ210" s="46"/>
      <c r="DOA210" s="46"/>
      <c r="DOB210" s="46"/>
      <c r="DOC210" s="46"/>
      <c r="DOD210" s="46"/>
      <c r="DOE210" s="46"/>
      <c r="DOF210" s="46"/>
      <c r="DOG210" s="46"/>
      <c r="DOH210" s="46"/>
      <c r="DOI210" s="46"/>
      <c r="DOJ210" s="46"/>
      <c r="DOK210" s="46"/>
      <c r="DOL210" s="46"/>
      <c r="DOM210" s="46"/>
      <c r="DON210" s="46"/>
      <c r="DOO210" s="46"/>
      <c r="DOP210" s="46"/>
      <c r="DOQ210" s="46"/>
      <c r="DOR210" s="46"/>
      <c r="DOS210" s="46"/>
      <c r="DOT210" s="46"/>
      <c r="DOU210" s="46"/>
      <c r="DOV210" s="46"/>
      <c r="DOW210" s="46"/>
      <c r="DOX210" s="46"/>
      <c r="DOY210" s="46"/>
      <c r="DOZ210" s="46"/>
      <c r="DPA210" s="46"/>
      <c r="DPB210" s="46"/>
      <c r="DPC210" s="46"/>
      <c r="DPD210" s="46"/>
      <c r="DPE210" s="46"/>
      <c r="DPF210" s="46"/>
      <c r="DPG210" s="46"/>
      <c r="DPH210" s="46"/>
      <c r="DPI210" s="46"/>
      <c r="DPJ210" s="46"/>
      <c r="DPK210" s="46"/>
      <c r="DPL210" s="46"/>
      <c r="DPM210" s="46"/>
      <c r="DPN210" s="46"/>
      <c r="DPO210" s="46"/>
      <c r="DPP210" s="46"/>
      <c r="DPQ210" s="46"/>
      <c r="DPR210" s="46"/>
      <c r="DPS210" s="46"/>
      <c r="DPT210" s="46"/>
      <c r="DPU210" s="46"/>
      <c r="DPV210" s="46"/>
      <c r="DPW210" s="46"/>
      <c r="DPX210" s="46"/>
      <c r="DPY210" s="46"/>
      <c r="DPZ210" s="46"/>
      <c r="DQA210" s="46"/>
      <c r="DQB210" s="46"/>
      <c r="DQC210" s="46"/>
      <c r="DQD210" s="46"/>
      <c r="DQE210" s="46"/>
      <c r="DQF210" s="46"/>
      <c r="DQG210" s="46"/>
      <c r="DQH210" s="46"/>
      <c r="DQI210" s="46"/>
      <c r="DQJ210" s="46"/>
      <c r="DQK210" s="46"/>
      <c r="DQL210" s="46"/>
      <c r="DQM210" s="46"/>
      <c r="DQN210" s="46"/>
      <c r="DQO210" s="46"/>
      <c r="DQP210" s="46"/>
      <c r="DQQ210" s="46"/>
      <c r="DQR210" s="46"/>
      <c r="DQS210" s="46"/>
      <c r="DQT210" s="46"/>
      <c r="DQU210" s="46"/>
      <c r="DQV210" s="46"/>
      <c r="DQW210" s="46"/>
      <c r="DQX210" s="46"/>
      <c r="DQY210" s="46"/>
      <c r="DQZ210" s="46"/>
      <c r="DRA210" s="46"/>
      <c r="DRB210" s="46"/>
      <c r="DRC210" s="46"/>
      <c r="DRD210" s="46"/>
      <c r="DRE210" s="46"/>
      <c r="DRF210" s="46"/>
      <c r="DRG210" s="46"/>
      <c r="DRH210" s="46"/>
      <c r="DRI210" s="46"/>
      <c r="DRJ210" s="46"/>
      <c r="DRK210" s="46"/>
      <c r="DRL210" s="46"/>
      <c r="DRM210" s="46"/>
      <c r="DRN210" s="46"/>
      <c r="DRO210" s="46"/>
      <c r="DRP210" s="46"/>
      <c r="DRQ210" s="46"/>
      <c r="DRR210" s="46"/>
      <c r="DRS210" s="46"/>
      <c r="DRT210" s="46"/>
      <c r="DRU210" s="46"/>
      <c r="DRV210" s="46"/>
      <c r="DRW210" s="46"/>
      <c r="DRX210" s="46"/>
      <c r="DRY210" s="46"/>
      <c r="DRZ210" s="46"/>
      <c r="DSA210" s="46"/>
      <c r="DSB210" s="46"/>
      <c r="DSC210" s="46"/>
      <c r="DSD210" s="46"/>
      <c r="DSE210" s="46"/>
      <c r="DSF210" s="46"/>
      <c r="DSG210" s="46"/>
      <c r="DSH210" s="46"/>
      <c r="DSI210" s="46"/>
      <c r="DSJ210" s="46"/>
      <c r="DSK210" s="46"/>
      <c r="DSL210" s="46"/>
      <c r="DSM210" s="46"/>
      <c r="DSN210" s="46"/>
      <c r="DSO210" s="46"/>
      <c r="DSP210" s="46"/>
      <c r="DSQ210" s="46"/>
      <c r="DSR210" s="46"/>
      <c r="DSS210" s="46"/>
      <c r="DST210" s="46"/>
      <c r="DSU210" s="46"/>
      <c r="DSV210" s="46"/>
      <c r="DSW210" s="46"/>
      <c r="DSX210" s="46"/>
      <c r="DSY210" s="46"/>
      <c r="DSZ210" s="46"/>
      <c r="DTA210" s="46"/>
      <c r="DTB210" s="46"/>
      <c r="DTC210" s="46"/>
      <c r="DTD210" s="46"/>
      <c r="DTE210" s="46"/>
      <c r="DTF210" s="46"/>
      <c r="DTG210" s="46"/>
      <c r="DTH210" s="46"/>
      <c r="DTI210" s="46"/>
      <c r="DTJ210" s="46"/>
      <c r="DTK210" s="46"/>
      <c r="DTL210" s="46"/>
      <c r="DTM210" s="46"/>
      <c r="DTN210" s="46"/>
      <c r="DTO210" s="46"/>
      <c r="DTP210" s="46"/>
      <c r="DTQ210" s="46"/>
      <c r="DTR210" s="46"/>
      <c r="DTS210" s="46"/>
      <c r="DTT210" s="46"/>
      <c r="DTU210" s="46"/>
      <c r="DTV210" s="46"/>
      <c r="DTW210" s="46"/>
      <c r="DTX210" s="46"/>
      <c r="DTY210" s="46"/>
      <c r="DTZ210" s="46"/>
      <c r="DUA210" s="46"/>
      <c r="DUB210" s="46"/>
      <c r="DUC210" s="46"/>
      <c r="DUD210" s="46"/>
      <c r="DUE210" s="46"/>
      <c r="DUF210" s="46"/>
      <c r="DUG210" s="46"/>
      <c r="DUH210" s="46"/>
      <c r="DUI210" s="46"/>
      <c r="DUJ210" s="46"/>
      <c r="DUK210" s="46"/>
      <c r="DUL210" s="46"/>
      <c r="DUM210" s="46"/>
      <c r="DUN210" s="46"/>
      <c r="DUO210" s="46"/>
      <c r="DUP210" s="46"/>
      <c r="DUQ210" s="46"/>
      <c r="DUR210" s="46"/>
      <c r="DUS210" s="46"/>
      <c r="DUT210" s="46"/>
      <c r="DUU210" s="46"/>
      <c r="DUV210" s="46"/>
      <c r="DUW210" s="46"/>
      <c r="DUX210" s="46"/>
      <c r="DUY210" s="46"/>
      <c r="DUZ210" s="46"/>
      <c r="DVA210" s="46"/>
      <c r="DVB210" s="46"/>
      <c r="DVC210" s="46"/>
      <c r="DVD210" s="46"/>
      <c r="DVE210" s="46"/>
      <c r="DVF210" s="46"/>
      <c r="DVG210" s="46"/>
      <c r="DVH210" s="46"/>
      <c r="DVI210" s="46"/>
      <c r="DVJ210" s="46"/>
      <c r="DVK210" s="46"/>
      <c r="DVL210" s="46"/>
      <c r="DVM210" s="46"/>
      <c r="DVN210" s="46"/>
      <c r="DVO210" s="46"/>
      <c r="DVP210" s="46"/>
      <c r="DVQ210" s="46"/>
      <c r="DVR210" s="46"/>
      <c r="DVS210" s="46"/>
      <c r="DVT210" s="46"/>
      <c r="DVU210" s="46"/>
      <c r="DVV210" s="46"/>
      <c r="DVW210" s="46"/>
      <c r="DVX210" s="46"/>
      <c r="DVY210" s="46"/>
      <c r="DVZ210" s="46"/>
      <c r="DWA210" s="46"/>
      <c r="DWB210" s="46"/>
      <c r="DWC210" s="46"/>
      <c r="DWD210" s="46"/>
      <c r="DWE210" s="46"/>
      <c r="DWF210" s="46"/>
      <c r="DWG210" s="46"/>
      <c r="DWH210" s="46"/>
      <c r="DWI210" s="46"/>
      <c r="DWJ210" s="46"/>
      <c r="DWK210" s="46"/>
      <c r="DWL210" s="46"/>
      <c r="DWM210" s="46"/>
      <c r="DWN210" s="46"/>
      <c r="DWO210" s="46"/>
      <c r="DWP210" s="46"/>
      <c r="DWQ210" s="46"/>
      <c r="DWR210" s="46"/>
      <c r="DWS210" s="46"/>
      <c r="DWT210" s="46"/>
      <c r="DWU210" s="46"/>
      <c r="DWV210" s="46"/>
      <c r="DWW210" s="46"/>
      <c r="DWX210" s="46"/>
      <c r="DWY210" s="46"/>
      <c r="DWZ210" s="46"/>
      <c r="DXA210" s="46"/>
      <c r="DXB210" s="46"/>
      <c r="DXC210" s="46"/>
      <c r="DXD210" s="46"/>
      <c r="DXE210" s="46"/>
      <c r="DXF210" s="46"/>
      <c r="DXG210" s="46"/>
      <c r="DXH210" s="46"/>
      <c r="DXI210" s="46"/>
      <c r="DXJ210" s="46"/>
      <c r="DXK210" s="46"/>
      <c r="DXL210" s="46"/>
      <c r="DXM210" s="46"/>
      <c r="DXN210" s="46"/>
      <c r="DXO210" s="46"/>
      <c r="DXP210" s="46"/>
      <c r="DXQ210" s="46"/>
      <c r="DXR210" s="46"/>
      <c r="DXS210" s="46"/>
      <c r="DXT210" s="46"/>
      <c r="DXU210" s="46"/>
      <c r="DXV210" s="46"/>
      <c r="DXW210" s="46"/>
      <c r="DXX210" s="46"/>
      <c r="DXY210" s="46"/>
      <c r="DXZ210" s="46"/>
      <c r="DYA210" s="46"/>
      <c r="DYB210" s="46"/>
      <c r="DYC210" s="46"/>
      <c r="DYD210" s="46"/>
      <c r="DYE210" s="46"/>
      <c r="DYF210" s="46"/>
      <c r="DYG210" s="46"/>
      <c r="DYH210" s="46"/>
      <c r="DYI210" s="46"/>
      <c r="DYJ210" s="46"/>
      <c r="DYK210" s="46"/>
      <c r="DYL210" s="46"/>
      <c r="DYM210" s="46"/>
      <c r="DYN210" s="46"/>
      <c r="DYO210" s="46"/>
      <c r="DYP210" s="46"/>
      <c r="DYQ210" s="46"/>
      <c r="DYR210" s="46"/>
      <c r="DYS210" s="46"/>
      <c r="DYT210" s="46"/>
      <c r="DYU210" s="46"/>
      <c r="DYV210" s="46"/>
      <c r="DYW210" s="46"/>
      <c r="DYX210" s="46"/>
      <c r="DYY210" s="46"/>
      <c r="DYZ210" s="46"/>
      <c r="DZA210" s="46"/>
      <c r="DZB210" s="46"/>
      <c r="DZC210" s="46"/>
      <c r="DZD210" s="46"/>
      <c r="DZE210" s="46"/>
      <c r="DZF210" s="46"/>
      <c r="DZG210" s="46"/>
      <c r="DZH210" s="46"/>
      <c r="DZI210" s="46"/>
      <c r="DZJ210" s="46"/>
      <c r="DZK210" s="46"/>
      <c r="DZL210" s="46"/>
      <c r="DZM210" s="46"/>
      <c r="DZN210" s="46"/>
      <c r="DZO210" s="46"/>
      <c r="DZP210" s="46"/>
      <c r="DZQ210" s="46"/>
      <c r="DZR210" s="46"/>
      <c r="DZS210" s="46"/>
      <c r="DZT210" s="46"/>
      <c r="DZU210" s="46"/>
      <c r="DZV210" s="46"/>
      <c r="DZW210" s="46"/>
      <c r="DZX210" s="46"/>
      <c r="DZY210" s="46"/>
      <c r="DZZ210" s="46"/>
      <c r="EAA210" s="46"/>
      <c r="EAB210" s="46"/>
      <c r="EAC210" s="46"/>
      <c r="EAD210" s="46"/>
      <c r="EAE210" s="46"/>
      <c r="EAF210" s="46"/>
      <c r="EAG210" s="46"/>
      <c r="EAH210" s="46"/>
      <c r="EAI210" s="46"/>
      <c r="EAJ210" s="46"/>
      <c r="EAK210" s="46"/>
      <c r="EAL210" s="46"/>
      <c r="EAM210" s="46"/>
      <c r="EAN210" s="46"/>
      <c r="EAO210" s="46"/>
      <c r="EAP210" s="46"/>
      <c r="EAQ210" s="46"/>
      <c r="EAR210" s="46"/>
      <c r="EAS210" s="46"/>
      <c r="EAT210" s="46"/>
      <c r="EAU210" s="46"/>
      <c r="EAV210" s="46"/>
      <c r="EAW210" s="46"/>
      <c r="EAX210" s="46"/>
      <c r="EAY210" s="46"/>
      <c r="EAZ210" s="46"/>
      <c r="EBA210" s="46"/>
      <c r="EBB210" s="46"/>
      <c r="EBC210" s="46"/>
      <c r="EBD210" s="46"/>
      <c r="EBE210" s="46"/>
      <c r="EBF210" s="46"/>
      <c r="EBG210" s="46"/>
      <c r="EBH210" s="46"/>
      <c r="EBI210" s="46"/>
      <c r="EBJ210" s="46"/>
      <c r="EBK210" s="46"/>
      <c r="EBL210" s="46"/>
      <c r="EBM210" s="46"/>
      <c r="EBN210" s="46"/>
      <c r="EBO210" s="46"/>
      <c r="EBP210" s="46"/>
      <c r="EBQ210" s="46"/>
      <c r="EBR210" s="46"/>
      <c r="EBS210" s="46"/>
      <c r="EBT210" s="46"/>
      <c r="EBU210" s="46"/>
      <c r="EBV210" s="46"/>
      <c r="EBW210" s="46"/>
      <c r="EBX210" s="46"/>
      <c r="EBY210" s="46"/>
      <c r="EBZ210" s="46"/>
      <c r="ECA210" s="46"/>
      <c r="ECB210" s="46"/>
      <c r="ECC210" s="46"/>
      <c r="ECD210" s="46"/>
      <c r="ECE210" s="46"/>
      <c r="ECF210" s="46"/>
      <c r="ECG210" s="46"/>
      <c r="ECH210" s="46"/>
      <c r="ECI210" s="46"/>
      <c r="ECJ210" s="46"/>
      <c r="ECK210" s="46"/>
      <c r="ECL210" s="46"/>
      <c r="ECM210" s="46"/>
      <c r="ECN210" s="46"/>
      <c r="ECO210" s="46"/>
      <c r="ECP210" s="46"/>
      <c r="ECQ210" s="46"/>
      <c r="ECR210" s="46"/>
      <c r="ECS210" s="46"/>
      <c r="ECT210" s="46"/>
      <c r="ECU210" s="46"/>
      <c r="ECV210" s="46"/>
      <c r="ECW210" s="46"/>
      <c r="ECX210" s="46"/>
      <c r="ECY210" s="46"/>
      <c r="ECZ210" s="46"/>
      <c r="EDA210" s="46"/>
      <c r="EDB210" s="46"/>
      <c r="EDC210" s="46"/>
      <c r="EDD210" s="46"/>
      <c r="EDE210" s="46"/>
      <c r="EDF210" s="46"/>
      <c r="EDG210" s="46"/>
      <c r="EDH210" s="46"/>
      <c r="EDI210" s="46"/>
      <c r="EDJ210" s="46"/>
      <c r="EDK210" s="46"/>
      <c r="EDL210" s="46"/>
      <c r="EDM210" s="46"/>
      <c r="EDN210" s="46"/>
      <c r="EDO210" s="46"/>
      <c r="EDP210" s="46"/>
      <c r="EDQ210" s="46"/>
      <c r="EDR210" s="46"/>
      <c r="EDS210" s="46"/>
      <c r="EDT210" s="46"/>
      <c r="EDU210" s="46"/>
      <c r="EDV210" s="46"/>
      <c r="EDW210" s="46"/>
      <c r="EDX210" s="46"/>
      <c r="EDY210" s="46"/>
      <c r="EDZ210" s="46"/>
      <c r="EEA210" s="46"/>
      <c r="EEB210" s="46"/>
      <c r="EEC210" s="46"/>
      <c r="EED210" s="46"/>
      <c r="EEE210" s="46"/>
      <c r="EEF210" s="46"/>
      <c r="EEG210" s="46"/>
      <c r="EEH210" s="46"/>
      <c r="EEI210" s="46"/>
      <c r="EEJ210" s="46"/>
      <c r="EEK210" s="46"/>
      <c r="EEL210" s="46"/>
      <c r="EEM210" s="46"/>
      <c r="EEN210" s="46"/>
      <c r="EEO210" s="46"/>
      <c r="EEP210" s="46"/>
      <c r="EEQ210" s="46"/>
      <c r="EER210" s="46"/>
      <c r="EES210" s="46"/>
      <c r="EET210" s="46"/>
      <c r="EEU210" s="46"/>
      <c r="EEV210" s="46"/>
      <c r="EEW210" s="46"/>
      <c r="EEX210" s="46"/>
      <c r="EEY210" s="46"/>
      <c r="EEZ210" s="46"/>
      <c r="EFA210" s="46"/>
      <c r="EFB210" s="46"/>
      <c r="EFC210" s="46"/>
      <c r="EFD210" s="46"/>
      <c r="EFE210" s="46"/>
      <c r="EFF210" s="46"/>
      <c r="EFG210" s="46"/>
      <c r="EFH210" s="46"/>
      <c r="EFI210" s="46"/>
      <c r="EFJ210" s="46"/>
      <c r="EFK210" s="46"/>
      <c r="EFL210" s="46"/>
      <c r="EFM210" s="46"/>
      <c r="EFN210" s="46"/>
      <c r="EFO210" s="46"/>
      <c r="EFP210" s="46"/>
      <c r="EFQ210" s="46"/>
      <c r="EFR210" s="46"/>
      <c r="EFS210" s="46"/>
      <c r="EFT210" s="46"/>
      <c r="EFU210" s="46"/>
      <c r="EFV210" s="46"/>
      <c r="EFW210" s="46"/>
      <c r="EFX210" s="46"/>
      <c r="EFY210" s="46"/>
      <c r="EFZ210" s="46"/>
      <c r="EGA210" s="46"/>
      <c r="EGB210" s="46"/>
      <c r="EGC210" s="46"/>
      <c r="EGD210" s="46"/>
      <c r="EGE210" s="46"/>
      <c r="EGF210" s="46"/>
      <c r="EGG210" s="46"/>
      <c r="EGH210" s="46"/>
      <c r="EGI210" s="46"/>
      <c r="EGJ210" s="46"/>
      <c r="EGK210" s="46"/>
      <c r="EGL210" s="46"/>
      <c r="EGM210" s="46"/>
      <c r="EGN210" s="46"/>
      <c r="EGO210" s="46"/>
      <c r="EGP210" s="46"/>
      <c r="EGQ210" s="46"/>
      <c r="EGR210" s="46"/>
      <c r="EGS210" s="46"/>
      <c r="EGT210" s="46"/>
      <c r="EGU210" s="46"/>
      <c r="EGV210" s="46"/>
      <c r="EGW210" s="46"/>
      <c r="EGX210" s="46"/>
      <c r="EGY210" s="46"/>
      <c r="EGZ210" s="46"/>
      <c r="EHA210" s="46"/>
      <c r="EHB210" s="46"/>
      <c r="EHC210" s="46"/>
      <c r="EHD210" s="46"/>
      <c r="EHE210" s="46"/>
      <c r="EHF210" s="46"/>
      <c r="EHG210" s="46"/>
      <c r="EHH210" s="46"/>
      <c r="EHI210" s="46"/>
      <c r="EHJ210" s="46"/>
      <c r="EHK210" s="46"/>
      <c r="EHL210" s="46"/>
      <c r="EHM210" s="46"/>
      <c r="EHN210" s="46"/>
      <c r="EHO210" s="46"/>
      <c r="EHP210" s="46"/>
      <c r="EHQ210" s="46"/>
      <c r="EHR210" s="46"/>
      <c r="EHS210" s="46"/>
      <c r="EHT210" s="46"/>
      <c r="EHU210" s="46"/>
      <c r="EHV210" s="46"/>
      <c r="EHW210" s="46"/>
      <c r="EHX210" s="46"/>
      <c r="EHY210" s="46"/>
      <c r="EHZ210" s="46"/>
      <c r="EIA210" s="46"/>
      <c r="EIB210" s="46"/>
      <c r="EIC210" s="46"/>
      <c r="EID210" s="46"/>
      <c r="EIE210" s="46"/>
      <c r="EIF210" s="46"/>
      <c r="EIG210" s="46"/>
      <c r="EIH210" s="46"/>
      <c r="EII210" s="46"/>
      <c r="EIJ210" s="46"/>
      <c r="EIK210" s="46"/>
      <c r="EIL210" s="46"/>
      <c r="EIM210" s="46"/>
      <c r="EIN210" s="46"/>
      <c r="EIO210" s="46"/>
      <c r="EIP210" s="46"/>
      <c r="EIQ210" s="46"/>
      <c r="EIR210" s="46"/>
      <c r="EIS210" s="46"/>
      <c r="EIT210" s="46"/>
      <c r="EIU210" s="46"/>
      <c r="EIV210" s="46"/>
      <c r="EIW210" s="46"/>
      <c r="EIX210" s="46"/>
      <c r="EIY210" s="46"/>
      <c r="EIZ210" s="46"/>
      <c r="EJA210" s="46"/>
      <c r="EJB210" s="46"/>
      <c r="EJC210" s="46"/>
      <c r="EJD210" s="46"/>
      <c r="EJE210" s="46"/>
      <c r="EJF210" s="46"/>
      <c r="EJG210" s="46"/>
      <c r="EJH210" s="46"/>
      <c r="EJI210" s="46"/>
      <c r="EJJ210" s="46"/>
      <c r="EJK210" s="46"/>
      <c r="EJL210" s="46"/>
      <c r="EJM210" s="46"/>
      <c r="EJN210" s="46"/>
      <c r="EJO210" s="46"/>
      <c r="EJP210" s="46"/>
      <c r="EJQ210" s="46"/>
      <c r="EJR210" s="46"/>
      <c r="EJS210" s="46"/>
      <c r="EJT210" s="46"/>
      <c r="EJU210" s="46"/>
      <c r="EJV210" s="46"/>
      <c r="EJW210" s="46"/>
      <c r="EJX210" s="46"/>
      <c r="EJY210" s="46"/>
      <c r="EJZ210" s="46"/>
      <c r="EKA210" s="46"/>
      <c r="EKB210" s="46"/>
      <c r="EKC210" s="46"/>
      <c r="EKD210" s="46"/>
      <c r="EKE210" s="46"/>
      <c r="EKF210" s="46"/>
      <c r="EKG210" s="46"/>
      <c r="EKH210" s="46"/>
      <c r="EKI210" s="46"/>
      <c r="EKJ210" s="46"/>
      <c r="EKK210" s="46"/>
      <c r="EKL210" s="46"/>
      <c r="EKM210" s="46"/>
      <c r="EKN210" s="46"/>
      <c r="EKO210" s="46"/>
      <c r="EKP210" s="46"/>
      <c r="EKQ210" s="46"/>
      <c r="EKR210" s="46"/>
      <c r="EKS210" s="46"/>
      <c r="EKT210" s="46"/>
      <c r="EKU210" s="46"/>
      <c r="EKV210" s="46"/>
      <c r="EKW210" s="46"/>
      <c r="EKX210" s="46"/>
      <c r="EKY210" s="46"/>
      <c r="EKZ210" s="46"/>
      <c r="ELA210" s="46"/>
      <c r="ELB210" s="46"/>
      <c r="ELC210" s="46"/>
      <c r="ELD210" s="46"/>
      <c r="ELE210" s="46"/>
      <c r="ELF210" s="46"/>
      <c r="ELG210" s="46"/>
      <c r="ELH210" s="46"/>
      <c r="ELI210" s="46"/>
      <c r="ELJ210" s="46"/>
      <c r="ELK210" s="46"/>
      <c r="ELL210" s="46"/>
      <c r="ELM210" s="46"/>
      <c r="ELN210" s="46"/>
      <c r="ELO210" s="46"/>
      <c r="ELP210" s="46"/>
      <c r="ELQ210" s="46"/>
      <c r="ELR210" s="46"/>
      <c r="ELS210" s="46"/>
      <c r="ELT210" s="46"/>
      <c r="ELU210" s="46"/>
      <c r="ELV210" s="46"/>
      <c r="ELW210" s="46"/>
      <c r="ELX210" s="46"/>
      <c r="ELY210" s="46"/>
      <c r="ELZ210" s="46"/>
      <c r="EMA210" s="46"/>
      <c r="EMB210" s="46"/>
      <c r="EMC210" s="46"/>
      <c r="EMD210" s="46"/>
      <c r="EME210" s="46"/>
      <c r="EMF210" s="46"/>
      <c r="EMG210" s="46"/>
      <c r="EMH210" s="46"/>
      <c r="EMI210" s="46"/>
      <c r="EMJ210" s="46"/>
      <c r="EMK210" s="46"/>
      <c r="EML210" s="46"/>
      <c r="EMM210" s="46"/>
      <c r="EMN210" s="46"/>
      <c r="EMO210" s="46"/>
      <c r="EMP210" s="46"/>
      <c r="EMQ210" s="46"/>
      <c r="EMR210" s="46"/>
      <c r="EMS210" s="46"/>
      <c r="EMT210" s="46"/>
      <c r="EMU210" s="46"/>
      <c r="EMV210" s="46"/>
      <c r="EMW210" s="46"/>
      <c r="EMX210" s="46"/>
      <c r="EMY210" s="46"/>
      <c r="EMZ210" s="46"/>
      <c r="ENA210" s="46"/>
      <c r="ENB210" s="46"/>
      <c r="ENC210" s="46"/>
      <c r="END210" s="46"/>
      <c r="ENE210" s="46"/>
      <c r="ENF210" s="46"/>
      <c r="ENG210" s="46"/>
      <c r="ENH210" s="46"/>
      <c r="ENI210" s="46"/>
      <c r="ENJ210" s="46"/>
      <c r="ENK210" s="46"/>
      <c r="ENL210" s="46"/>
      <c r="ENM210" s="46"/>
      <c r="ENN210" s="46"/>
      <c r="ENO210" s="46"/>
      <c r="ENP210" s="46"/>
      <c r="ENQ210" s="46"/>
      <c r="ENR210" s="46"/>
      <c r="ENS210" s="46"/>
      <c r="ENT210" s="46"/>
      <c r="ENU210" s="46"/>
      <c r="ENV210" s="46"/>
      <c r="ENW210" s="46"/>
      <c r="ENX210" s="46"/>
      <c r="ENY210" s="46"/>
      <c r="ENZ210" s="46"/>
      <c r="EOA210" s="46"/>
      <c r="EOB210" s="46"/>
      <c r="EOC210" s="46"/>
      <c r="EOD210" s="46"/>
      <c r="EOE210" s="46"/>
      <c r="EOF210" s="46"/>
      <c r="EOG210" s="46"/>
      <c r="EOH210" s="46"/>
      <c r="EOI210" s="46"/>
      <c r="EOJ210" s="46"/>
      <c r="EOK210" s="46"/>
      <c r="EOL210" s="46"/>
      <c r="EOM210" s="46"/>
      <c r="EON210" s="46"/>
      <c r="EOO210" s="46"/>
      <c r="EOP210" s="46"/>
      <c r="EOQ210" s="46"/>
      <c r="EOR210" s="46"/>
      <c r="EOS210" s="46"/>
      <c r="EOT210" s="46"/>
      <c r="EOU210" s="46"/>
      <c r="EOV210" s="46"/>
      <c r="EOW210" s="46"/>
      <c r="EOX210" s="46"/>
      <c r="EOY210" s="46"/>
      <c r="EOZ210" s="46"/>
      <c r="EPA210" s="46"/>
      <c r="EPB210" s="46"/>
      <c r="EPC210" s="46"/>
      <c r="EPD210" s="46"/>
      <c r="EPE210" s="46"/>
      <c r="EPF210" s="46"/>
      <c r="EPG210" s="46"/>
      <c r="EPH210" s="46"/>
      <c r="EPI210" s="46"/>
      <c r="EPJ210" s="46"/>
      <c r="EPK210" s="46"/>
      <c r="EPL210" s="46"/>
      <c r="EPM210" s="46"/>
      <c r="EPN210" s="46"/>
      <c r="EPO210" s="46"/>
      <c r="EPP210" s="46"/>
      <c r="EPQ210" s="46"/>
      <c r="EPR210" s="46"/>
      <c r="EPS210" s="46"/>
      <c r="EPT210" s="46"/>
      <c r="EPU210" s="46"/>
      <c r="EPV210" s="46"/>
      <c r="EPW210" s="46"/>
      <c r="EPX210" s="46"/>
      <c r="EPY210" s="46"/>
      <c r="EPZ210" s="46"/>
      <c r="EQA210" s="46"/>
      <c r="EQB210" s="46"/>
      <c r="EQC210" s="46"/>
      <c r="EQD210" s="46"/>
      <c r="EQE210" s="46"/>
      <c r="EQF210" s="46"/>
      <c r="EQG210" s="46"/>
      <c r="EQH210" s="46"/>
      <c r="EQI210" s="46"/>
      <c r="EQJ210" s="46"/>
      <c r="EQK210" s="46"/>
      <c r="EQL210" s="46"/>
      <c r="EQM210" s="46"/>
      <c r="EQN210" s="46"/>
      <c r="EQO210" s="46"/>
      <c r="EQP210" s="46"/>
      <c r="EQQ210" s="46"/>
      <c r="EQR210" s="46"/>
      <c r="EQS210" s="46"/>
      <c r="EQT210" s="46"/>
      <c r="EQU210" s="46"/>
      <c r="EQV210" s="46"/>
      <c r="EQW210" s="46"/>
      <c r="EQX210" s="46"/>
      <c r="EQY210" s="46"/>
      <c r="EQZ210" s="46"/>
      <c r="ERA210" s="46"/>
      <c r="ERB210" s="46"/>
      <c r="ERC210" s="46"/>
      <c r="ERD210" s="46"/>
      <c r="ERE210" s="46"/>
      <c r="ERF210" s="46"/>
      <c r="ERG210" s="46"/>
      <c r="ERH210" s="46"/>
      <c r="ERI210" s="46"/>
      <c r="ERJ210" s="46"/>
      <c r="ERK210" s="46"/>
      <c r="ERL210" s="46"/>
      <c r="ERM210" s="46"/>
      <c r="ERN210" s="46"/>
      <c r="ERO210" s="46"/>
      <c r="ERP210" s="46"/>
      <c r="ERQ210" s="46"/>
      <c r="ERR210" s="46"/>
      <c r="ERS210" s="46"/>
      <c r="ERT210" s="46"/>
      <c r="ERU210" s="46"/>
      <c r="ERV210" s="46"/>
      <c r="ERW210" s="46"/>
      <c r="ERX210" s="46"/>
      <c r="ERY210" s="46"/>
      <c r="ERZ210" s="46"/>
      <c r="ESA210" s="46"/>
      <c r="ESB210" s="46"/>
      <c r="ESC210" s="46"/>
      <c r="ESD210" s="46"/>
      <c r="ESE210" s="46"/>
      <c r="ESF210" s="46"/>
      <c r="ESG210" s="46"/>
      <c r="ESH210" s="46"/>
      <c r="ESI210" s="46"/>
      <c r="ESJ210" s="46"/>
      <c r="ESK210" s="46"/>
      <c r="ESL210" s="46"/>
      <c r="ESM210" s="46"/>
      <c r="ESN210" s="46"/>
      <c r="ESO210" s="46"/>
      <c r="ESP210" s="46"/>
      <c r="ESQ210" s="46"/>
      <c r="ESR210" s="46"/>
      <c r="ESS210" s="46"/>
      <c r="EST210" s="46"/>
      <c r="ESU210" s="46"/>
      <c r="ESV210" s="46"/>
      <c r="ESW210" s="46"/>
      <c r="ESX210" s="46"/>
      <c r="ESY210" s="46"/>
      <c r="ESZ210" s="46"/>
      <c r="ETA210" s="46"/>
      <c r="ETB210" s="46"/>
      <c r="ETC210" s="46"/>
      <c r="ETD210" s="46"/>
      <c r="ETE210" s="46"/>
      <c r="ETF210" s="46"/>
      <c r="ETG210" s="46"/>
      <c r="ETH210" s="46"/>
      <c r="ETI210" s="46"/>
      <c r="ETJ210" s="46"/>
      <c r="ETK210" s="46"/>
      <c r="ETL210" s="46"/>
      <c r="ETM210" s="46"/>
      <c r="ETN210" s="46"/>
      <c r="ETO210" s="46"/>
      <c r="ETP210" s="46"/>
      <c r="ETQ210" s="46"/>
      <c r="ETR210" s="46"/>
      <c r="ETS210" s="46"/>
      <c r="ETT210" s="46"/>
      <c r="ETU210" s="46"/>
      <c r="ETV210" s="46"/>
      <c r="ETW210" s="46"/>
      <c r="ETX210" s="46"/>
      <c r="ETY210" s="46"/>
      <c r="ETZ210" s="46"/>
      <c r="EUA210" s="46"/>
      <c r="EUB210" s="46"/>
      <c r="EUC210" s="46"/>
      <c r="EUD210" s="46"/>
      <c r="EUE210" s="46"/>
      <c r="EUF210" s="46"/>
      <c r="EUG210" s="46"/>
      <c r="EUH210" s="46"/>
      <c r="EUI210" s="46"/>
      <c r="EUJ210" s="46"/>
      <c r="EUK210" s="46"/>
      <c r="EUL210" s="46"/>
      <c r="EUM210" s="46"/>
      <c r="EUN210" s="46"/>
      <c r="EUO210" s="46"/>
      <c r="EUP210" s="46"/>
      <c r="EUQ210" s="46"/>
      <c r="EUR210" s="46"/>
      <c r="EUS210" s="46"/>
      <c r="EUT210" s="46"/>
      <c r="EUU210" s="46"/>
      <c r="EUV210" s="46"/>
      <c r="EUW210" s="46"/>
      <c r="EUX210" s="46"/>
      <c r="EUY210" s="46"/>
      <c r="EUZ210" s="46"/>
      <c r="EVA210" s="46"/>
      <c r="EVB210" s="46"/>
      <c r="EVC210" s="46"/>
      <c r="EVD210" s="46"/>
      <c r="EVE210" s="46"/>
      <c r="EVF210" s="46"/>
      <c r="EVG210" s="46"/>
      <c r="EVH210" s="46"/>
      <c r="EVI210" s="46"/>
      <c r="EVJ210" s="46"/>
      <c r="EVK210" s="46"/>
      <c r="EVL210" s="46"/>
      <c r="EVM210" s="46"/>
      <c r="EVN210" s="46"/>
      <c r="EVO210" s="46"/>
      <c r="EVP210" s="46"/>
      <c r="EVQ210" s="46"/>
      <c r="EVR210" s="46"/>
      <c r="EVS210" s="46"/>
      <c r="EVT210" s="46"/>
      <c r="EVU210" s="46"/>
      <c r="EVV210" s="46"/>
      <c r="EVW210" s="46"/>
      <c r="EVX210" s="46"/>
      <c r="EVY210" s="46"/>
      <c r="EVZ210" s="46"/>
      <c r="EWA210" s="46"/>
      <c r="EWB210" s="46"/>
      <c r="EWC210" s="46"/>
      <c r="EWD210" s="46"/>
      <c r="EWE210" s="46"/>
      <c r="EWF210" s="46"/>
      <c r="EWG210" s="46"/>
      <c r="EWH210" s="46"/>
      <c r="EWI210" s="46"/>
      <c r="EWJ210" s="46"/>
      <c r="EWK210" s="46"/>
      <c r="EWL210" s="46"/>
      <c r="EWM210" s="46"/>
      <c r="EWN210" s="46"/>
      <c r="EWO210" s="46"/>
      <c r="EWP210" s="46"/>
      <c r="EWQ210" s="46"/>
      <c r="EWR210" s="46"/>
      <c r="EWS210" s="46"/>
      <c r="EWT210" s="46"/>
      <c r="EWU210" s="46"/>
      <c r="EWV210" s="46"/>
      <c r="EWW210" s="46"/>
      <c r="EWX210" s="46"/>
      <c r="EWY210" s="46"/>
      <c r="EWZ210" s="46"/>
      <c r="EXA210" s="46"/>
      <c r="EXB210" s="46"/>
      <c r="EXC210" s="46"/>
      <c r="EXD210" s="46"/>
      <c r="EXE210" s="46"/>
      <c r="EXF210" s="46"/>
      <c r="EXG210" s="46"/>
      <c r="EXH210" s="46"/>
      <c r="EXI210" s="46"/>
      <c r="EXJ210" s="46"/>
      <c r="EXK210" s="46"/>
      <c r="EXL210" s="46"/>
      <c r="EXM210" s="46"/>
      <c r="EXN210" s="46"/>
      <c r="EXO210" s="46"/>
      <c r="EXP210" s="46"/>
      <c r="EXQ210" s="46"/>
      <c r="EXR210" s="46"/>
      <c r="EXS210" s="46"/>
      <c r="EXT210" s="46"/>
      <c r="EXU210" s="46"/>
      <c r="EXV210" s="46"/>
      <c r="EXW210" s="46"/>
      <c r="EXX210" s="46"/>
      <c r="EXY210" s="46"/>
      <c r="EXZ210" s="46"/>
      <c r="EYA210" s="46"/>
      <c r="EYB210" s="46"/>
      <c r="EYC210" s="46"/>
      <c r="EYD210" s="46"/>
      <c r="EYE210" s="46"/>
      <c r="EYF210" s="46"/>
      <c r="EYG210" s="46"/>
      <c r="EYH210" s="46"/>
      <c r="EYI210" s="46"/>
      <c r="EYJ210" s="46"/>
      <c r="EYK210" s="46"/>
      <c r="EYL210" s="46"/>
      <c r="EYM210" s="46"/>
      <c r="EYN210" s="46"/>
      <c r="EYO210" s="46"/>
      <c r="EYP210" s="46"/>
      <c r="EYQ210" s="46"/>
      <c r="EYR210" s="46"/>
      <c r="EYS210" s="46"/>
      <c r="EYT210" s="46"/>
      <c r="EYU210" s="46"/>
      <c r="EYV210" s="46"/>
      <c r="EYW210" s="46"/>
      <c r="EYX210" s="46"/>
      <c r="EYY210" s="46"/>
      <c r="EYZ210" s="46"/>
      <c r="EZA210" s="46"/>
      <c r="EZB210" s="46"/>
      <c r="EZC210" s="46"/>
      <c r="EZD210" s="46"/>
      <c r="EZE210" s="46"/>
      <c r="EZF210" s="46"/>
      <c r="EZG210" s="46"/>
      <c r="EZH210" s="46"/>
      <c r="EZI210" s="46"/>
      <c r="EZJ210" s="46"/>
      <c r="EZK210" s="46"/>
      <c r="EZL210" s="46"/>
      <c r="EZM210" s="46"/>
      <c r="EZN210" s="46"/>
      <c r="EZO210" s="46"/>
      <c r="EZP210" s="46"/>
      <c r="EZQ210" s="46"/>
      <c r="EZR210" s="46"/>
      <c r="EZS210" s="46"/>
      <c r="EZT210" s="46"/>
      <c r="EZU210" s="46"/>
      <c r="EZV210" s="46"/>
      <c r="EZW210" s="46"/>
      <c r="EZX210" s="46"/>
      <c r="EZY210" s="46"/>
      <c r="EZZ210" s="46"/>
      <c r="FAA210" s="46"/>
      <c r="FAB210" s="46"/>
      <c r="FAC210" s="46"/>
      <c r="FAD210" s="46"/>
      <c r="FAE210" s="46"/>
      <c r="FAF210" s="46"/>
      <c r="FAG210" s="46"/>
      <c r="FAH210" s="46"/>
      <c r="FAI210" s="46"/>
      <c r="FAJ210" s="46"/>
      <c r="FAK210" s="46"/>
      <c r="FAL210" s="46"/>
      <c r="FAM210" s="46"/>
      <c r="FAN210" s="46"/>
      <c r="FAO210" s="46"/>
      <c r="FAP210" s="46"/>
      <c r="FAQ210" s="46"/>
      <c r="FAR210" s="46"/>
      <c r="FAS210" s="46"/>
      <c r="FAT210" s="46"/>
      <c r="FAU210" s="46"/>
      <c r="FAV210" s="46"/>
      <c r="FAW210" s="46"/>
      <c r="FAX210" s="46"/>
      <c r="FAY210" s="46"/>
      <c r="FAZ210" s="46"/>
      <c r="FBA210" s="46"/>
      <c r="FBB210" s="46"/>
      <c r="FBC210" s="46"/>
      <c r="FBD210" s="46"/>
      <c r="FBE210" s="46"/>
      <c r="FBF210" s="46"/>
      <c r="FBG210" s="46"/>
      <c r="FBH210" s="46"/>
      <c r="FBI210" s="46"/>
      <c r="FBJ210" s="46"/>
      <c r="FBK210" s="46"/>
      <c r="FBL210" s="46"/>
      <c r="FBM210" s="46"/>
      <c r="FBN210" s="46"/>
      <c r="FBO210" s="46"/>
      <c r="FBP210" s="46"/>
      <c r="FBQ210" s="46"/>
      <c r="FBR210" s="46"/>
      <c r="FBS210" s="46"/>
      <c r="FBT210" s="46"/>
      <c r="FBU210" s="46"/>
      <c r="FBV210" s="46"/>
      <c r="FBW210" s="46"/>
      <c r="FBX210" s="46"/>
      <c r="FBY210" s="46"/>
      <c r="FBZ210" s="46"/>
      <c r="FCA210" s="46"/>
      <c r="FCB210" s="46"/>
      <c r="FCC210" s="46"/>
      <c r="FCD210" s="46"/>
      <c r="FCE210" s="46"/>
      <c r="FCF210" s="46"/>
      <c r="FCG210" s="46"/>
      <c r="FCH210" s="46"/>
      <c r="FCI210" s="46"/>
      <c r="FCJ210" s="46"/>
      <c r="FCK210" s="46"/>
      <c r="FCL210" s="46"/>
      <c r="FCM210" s="46"/>
      <c r="FCN210" s="46"/>
      <c r="FCO210" s="46"/>
      <c r="FCP210" s="46"/>
      <c r="FCQ210" s="46"/>
      <c r="FCR210" s="46"/>
      <c r="FCS210" s="46"/>
      <c r="FCT210" s="46"/>
      <c r="FCU210" s="46"/>
      <c r="FCV210" s="46"/>
      <c r="FCW210" s="46"/>
      <c r="FCX210" s="46"/>
      <c r="FCY210" s="46"/>
      <c r="FCZ210" s="46"/>
      <c r="FDA210" s="46"/>
      <c r="FDB210" s="46"/>
      <c r="FDC210" s="46"/>
      <c r="FDD210" s="46"/>
      <c r="FDE210" s="46"/>
      <c r="FDF210" s="46"/>
      <c r="FDG210" s="46"/>
      <c r="FDH210" s="46"/>
      <c r="FDI210" s="46"/>
      <c r="FDJ210" s="46"/>
      <c r="FDK210" s="46"/>
      <c r="FDL210" s="46"/>
      <c r="FDM210" s="46"/>
      <c r="FDN210" s="46"/>
      <c r="FDO210" s="46"/>
      <c r="FDP210" s="46"/>
      <c r="FDQ210" s="46"/>
      <c r="FDR210" s="46"/>
      <c r="FDS210" s="46"/>
      <c r="FDT210" s="46"/>
      <c r="FDU210" s="46"/>
      <c r="FDV210" s="46"/>
      <c r="FDW210" s="46"/>
      <c r="FDX210" s="46"/>
      <c r="FDY210" s="46"/>
      <c r="FDZ210" s="46"/>
      <c r="FEA210" s="46"/>
      <c r="FEB210" s="46"/>
      <c r="FEC210" s="46"/>
      <c r="FED210" s="46"/>
      <c r="FEE210" s="46"/>
      <c r="FEF210" s="46"/>
      <c r="FEG210" s="46"/>
      <c r="FEH210" s="46"/>
      <c r="FEI210" s="46"/>
      <c r="FEJ210" s="46"/>
      <c r="FEK210" s="46"/>
      <c r="FEL210" s="46"/>
      <c r="FEM210" s="46"/>
      <c r="FEN210" s="46"/>
      <c r="FEO210" s="46"/>
      <c r="FEP210" s="46"/>
      <c r="FEQ210" s="46"/>
      <c r="FER210" s="46"/>
      <c r="FES210" s="46"/>
      <c r="FET210" s="46"/>
      <c r="FEU210" s="46"/>
      <c r="FEV210" s="46"/>
      <c r="FEW210" s="46"/>
      <c r="FEX210" s="46"/>
      <c r="FEY210" s="46"/>
      <c r="FEZ210" s="46"/>
      <c r="FFA210" s="46"/>
      <c r="FFB210" s="46"/>
      <c r="FFC210" s="46"/>
      <c r="FFD210" s="46"/>
      <c r="FFE210" s="46"/>
      <c r="FFF210" s="46"/>
      <c r="FFG210" s="46"/>
      <c r="FFH210" s="46"/>
      <c r="FFI210" s="46"/>
      <c r="FFJ210" s="46"/>
      <c r="FFK210" s="46"/>
      <c r="FFL210" s="46"/>
      <c r="FFM210" s="46"/>
      <c r="FFN210" s="46"/>
      <c r="FFO210" s="46"/>
      <c r="FFP210" s="46"/>
      <c r="FFQ210" s="46"/>
      <c r="FFR210" s="46"/>
      <c r="FFS210" s="46"/>
      <c r="FFT210" s="46"/>
      <c r="FFU210" s="46"/>
      <c r="FFV210" s="46"/>
      <c r="FFW210" s="46"/>
      <c r="FFX210" s="46"/>
      <c r="FFY210" s="46"/>
      <c r="FFZ210" s="46"/>
      <c r="FGA210" s="46"/>
      <c r="FGB210" s="46"/>
      <c r="FGC210" s="46"/>
      <c r="FGD210" s="46"/>
      <c r="FGE210" s="46"/>
      <c r="FGF210" s="46"/>
      <c r="FGG210" s="46"/>
      <c r="FGH210" s="46"/>
      <c r="FGI210" s="46"/>
      <c r="FGJ210" s="46"/>
      <c r="FGK210" s="46"/>
      <c r="FGL210" s="46"/>
      <c r="FGM210" s="46"/>
      <c r="FGN210" s="46"/>
      <c r="FGO210" s="46"/>
      <c r="FGP210" s="46"/>
      <c r="FGQ210" s="46"/>
      <c r="FGR210" s="46"/>
      <c r="FGS210" s="46"/>
      <c r="FGT210" s="46"/>
      <c r="FGU210" s="46"/>
      <c r="FGV210" s="46"/>
      <c r="FGW210" s="46"/>
      <c r="FGX210" s="46"/>
      <c r="FGY210" s="46"/>
      <c r="FGZ210" s="46"/>
      <c r="FHA210" s="46"/>
      <c r="FHB210" s="46"/>
      <c r="FHC210" s="46"/>
      <c r="FHD210" s="46"/>
      <c r="FHE210" s="46"/>
      <c r="FHF210" s="46"/>
      <c r="FHG210" s="46"/>
      <c r="FHH210" s="46"/>
      <c r="FHI210" s="46"/>
      <c r="FHJ210" s="46"/>
      <c r="FHK210" s="46"/>
      <c r="FHL210" s="46"/>
      <c r="FHM210" s="46"/>
      <c r="FHN210" s="46"/>
      <c r="FHO210" s="46"/>
      <c r="FHP210" s="46"/>
      <c r="FHQ210" s="46"/>
      <c r="FHR210" s="46"/>
      <c r="FHS210" s="46"/>
      <c r="FHT210" s="46"/>
      <c r="FHU210" s="46"/>
      <c r="FHV210" s="46"/>
      <c r="FHW210" s="46"/>
      <c r="FHX210" s="46"/>
      <c r="FHY210" s="46"/>
      <c r="FHZ210" s="46"/>
      <c r="FIA210" s="46"/>
      <c r="FIB210" s="46"/>
      <c r="FIC210" s="46"/>
      <c r="FID210" s="46"/>
      <c r="FIE210" s="46"/>
      <c r="FIF210" s="46"/>
      <c r="FIG210" s="46"/>
      <c r="FIH210" s="46"/>
      <c r="FII210" s="46"/>
      <c r="FIJ210" s="46"/>
      <c r="FIK210" s="46"/>
      <c r="FIL210" s="46"/>
      <c r="FIM210" s="46"/>
      <c r="FIN210" s="46"/>
      <c r="FIO210" s="46"/>
      <c r="FIP210" s="46"/>
      <c r="FIQ210" s="46"/>
      <c r="FIR210" s="46"/>
      <c r="FIS210" s="46"/>
      <c r="FIT210" s="46"/>
      <c r="FIU210" s="46"/>
      <c r="FIV210" s="46"/>
      <c r="FIW210" s="46"/>
      <c r="FIX210" s="46"/>
      <c r="FIY210" s="46"/>
      <c r="FIZ210" s="46"/>
      <c r="FJA210" s="46"/>
      <c r="FJB210" s="46"/>
      <c r="FJC210" s="46"/>
      <c r="FJD210" s="46"/>
      <c r="FJE210" s="46"/>
      <c r="FJF210" s="46"/>
      <c r="FJG210" s="46"/>
      <c r="FJH210" s="46"/>
      <c r="FJI210" s="46"/>
      <c r="FJJ210" s="46"/>
      <c r="FJK210" s="46"/>
      <c r="FJL210" s="46"/>
      <c r="FJM210" s="46"/>
      <c r="FJN210" s="46"/>
      <c r="FJO210" s="46"/>
      <c r="FJP210" s="46"/>
      <c r="FJQ210" s="46"/>
      <c r="FJR210" s="46"/>
      <c r="FJS210" s="46"/>
      <c r="FJT210" s="46"/>
      <c r="FJU210" s="46"/>
      <c r="FJV210" s="46"/>
      <c r="FJW210" s="46"/>
      <c r="FJX210" s="46"/>
      <c r="FJY210" s="46"/>
      <c r="FJZ210" s="46"/>
      <c r="FKA210" s="46"/>
      <c r="FKB210" s="46"/>
      <c r="FKC210" s="46"/>
      <c r="FKD210" s="46"/>
      <c r="FKE210" s="46"/>
      <c r="FKF210" s="46"/>
      <c r="FKG210" s="46"/>
      <c r="FKH210" s="46"/>
      <c r="FKI210" s="46"/>
      <c r="FKJ210" s="46"/>
      <c r="FKK210" s="46"/>
      <c r="FKL210" s="46"/>
      <c r="FKM210" s="46"/>
      <c r="FKN210" s="46"/>
      <c r="FKO210" s="46"/>
      <c r="FKP210" s="46"/>
      <c r="FKQ210" s="46"/>
      <c r="FKR210" s="46"/>
      <c r="FKS210" s="46"/>
      <c r="FKT210" s="46"/>
      <c r="FKU210" s="46"/>
      <c r="FKV210" s="46"/>
      <c r="FKW210" s="46"/>
      <c r="FKX210" s="46"/>
      <c r="FKY210" s="46"/>
      <c r="FKZ210" s="46"/>
      <c r="FLA210" s="46"/>
      <c r="FLB210" s="46"/>
      <c r="FLC210" s="46"/>
      <c r="FLD210" s="46"/>
      <c r="FLE210" s="46"/>
      <c r="FLF210" s="46"/>
      <c r="FLG210" s="46"/>
      <c r="FLH210" s="46"/>
      <c r="FLI210" s="46"/>
      <c r="FLJ210" s="46"/>
      <c r="FLK210" s="46"/>
      <c r="FLL210" s="46"/>
      <c r="FLM210" s="46"/>
      <c r="FLN210" s="46"/>
      <c r="FLO210" s="46"/>
      <c r="FLP210" s="46"/>
      <c r="FLQ210" s="46"/>
      <c r="FLR210" s="46"/>
      <c r="FLS210" s="46"/>
      <c r="FLT210" s="46"/>
      <c r="FLU210" s="46"/>
      <c r="FLV210" s="46"/>
      <c r="FLW210" s="46"/>
      <c r="FLX210" s="46"/>
      <c r="FLY210" s="46"/>
      <c r="FLZ210" s="46"/>
      <c r="FMA210" s="46"/>
      <c r="FMB210" s="46"/>
      <c r="FMC210" s="46"/>
      <c r="FMD210" s="46"/>
      <c r="FME210" s="46"/>
      <c r="FMF210" s="46"/>
      <c r="FMG210" s="46"/>
      <c r="FMH210" s="46"/>
      <c r="FMI210" s="46"/>
      <c r="FMJ210" s="46"/>
      <c r="FMK210" s="46"/>
      <c r="FML210" s="46"/>
      <c r="FMM210" s="46"/>
      <c r="FMN210" s="46"/>
      <c r="FMO210" s="46"/>
      <c r="FMP210" s="46"/>
      <c r="FMQ210" s="46"/>
      <c r="FMR210" s="46"/>
      <c r="FMS210" s="46"/>
      <c r="FMT210" s="46"/>
      <c r="FMU210" s="46"/>
      <c r="FMV210" s="46"/>
      <c r="FMW210" s="46"/>
      <c r="FMX210" s="46"/>
      <c r="FMY210" s="46"/>
      <c r="FMZ210" s="46"/>
      <c r="FNA210" s="46"/>
      <c r="FNB210" s="46"/>
      <c r="FNC210" s="46"/>
      <c r="FND210" s="46"/>
      <c r="FNE210" s="46"/>
      <c r="FNF210" s="46"/>
      <c r="FNG210" s="46"/>
      <c r="FNH210" s="46"/>
      <c r="FNI210" s="46"/>
      <c r="FNJ210" s="46"/>
      <c r="FNK210" s="46"/>
      <c r="FNL210" s="46"/>
      <c r="FNM210" s="46"/>
      <c r="FNN210" s="46"/>
      <c r="FNO210" s="46"/>
      <c r="FNP210" s="46"/>
      <c r="FNQ210" s="46"/>
      <c r="FNR210" s="46"/>
      <c r="FNS210" s="46"/>
      <c r="FNT210" s="46"/>
      <c r="FNU210" s="46"/>
      <c r="FNV210" s="46"/>
      <c r="FNW210" s="46"/>
      <c r="FNX210" s="46"/>
      <c r="FNY210" s="46"/>
      <c r="FNZ210" s="46"/>
      <c r="FOA210" s="46"/>
      <c r="FOB210" s="46"/>
      <c r="FOC210" s="46"/>
      <c r="FOD210" s="46"/>
      <c r="FOE210" s="46"/>
      <c r="FOF210" s="46"/>
      <c r="FOG210" s="46"/>
      <c r="FOH210" s="46"/>
      <c r="FOI210" s="46"/>
      <c r="FOJ210" s="46"/>
      <c r="FOK210" s="46"/>
      <c r="FOL210" s="46"/>
      <c r="FOM210" s="46"/>
      <c r="FON210" s="46"/>
      <c r="FOO210" s="46"/>
      <c r="FOP210" s="46"/>
      <c r="FOQ210" s="46"/>
      <c r="FOR210" s="46"/>
      <c r="FOS210" s="46"/>
      <c r="FOT210" s="46"/>
      <c r="FOU210" s="46"/>
      <c r="FOV210" s="46"/>
      <c r="FOW210" s="46"/>
      <c r="FOX210" s="46"/>
      <c r="FOY210" s="46"/>
      <c r="FOZ210" s="46"/>
      <c r="FPA210" s="46"/>
      <c r="FPB210" s="46"/>
      <c r="FPC210" s="46"/>
      <c r="FPD210" s="46"/>
      <c r="FPE210" s="46"/>
      <c r="FPF210" s="46"/>
      <c r="FPG210" s="46"/>
      <c r="FPH210" s="46"/>
      <c r="FPI210" s="46"/>
      <c r="FPJ210" s="46"/>
      <c r="FPK210" s="46"/>
      <c r="FPL210" s="46"/>
      <c r="FPM210" s="46"/>
      <c r="FPN210" s="46"/>
      <c r="FPO210" s="46"/>
      <c r="FPP210" s="46"/>
      <c r="FPQ210" s="46"/>
      <c r="FPR210" s="46"/>
      <c r="FPS210" s="46"/>
      <c r="FPT210" s="46"/>
      <c r="FPU210" s="46"/>
      <c r="FPV210" s="46"/>
      <c r="FPW210" s="46"/>
      <c r="FPX210" s="46"/>
      <c r="FPY210" s="46"/>
      <c r="FPZ210" s="46"/>
      <c r="FQA210" s="46"/>
      <c r="FQB210" s="46"/>
      <c r="FQC210" s="46"/>
      <c r="FQD210" s="46"/>
      <c r="FQE210" s="46"/>
      <c r="FQF210" s="46"/>
      <c r="FQG210" s="46"/>
      <c r="FQH210" s="46"/>
      <c r="FQI210" s="46"/>
      <c r="FQJ210" s="46"/>
      <c r="FQK210" s="46"/>
      <c r="FQL210" s="46"/>
      <c r="FQM210" s="46"/>
      <c r="FQN210" s="46"/>
      <c r="FQO210" s="46"/>
      <c r="FQP210" s="46"/>
      <c r="FQQ210" s="46"/>
      <c r="FQR210" s="46"/>
      <c r="FQS210" s="46"/>
      <c r="FQT210" s="46"/>
      <c r="FQU210" s="46"/>
      <c r="FQV210" s="46"/>
      <c r="FQW210" s="46"/>
      <c r="FQX210" s="46"/>
      <c r="FQY210" s="46"/>
      <c r="FQZ210" s="46"/>
      <c r="FRA210" s="46"/>
      <c r="FRB210" s="46"/>
      <c r="FRC210" s="46"/>
      <c r="FRD210" s="46"/>
      <c r="FRE210" s="46"/>
      <c r="FRF210" s="46"/>
      <c r="FRG210" s="46"/>
      <c r="FRH210" s="46"/>
      <c r="FRI210" s="46"/>
      <c r="FRJ210" s="46"/>
      <c r="FRK210" s="46"/>
      <c r="FRL210" s="46"/>
      <c r="FRM210" s="46"/>
      <c r="FRN210" s="46"/>
      <c r="FRO210" s="46"/>
      <c r="FRP210" s="46"/>
      <c r="FRQ210" s="46"/>
      <c r="FRR210" s="46"/>
      <c r="FRS210" s="46"/>
      <c r="FRT210" s="46"/>
      <c r="FRU210" s="46"/>
      <c r="FRV210" s="46"/>
      <c r="FRW210" s="46"/>
      <c r="FRX210" s="46"/>
      <c r="FRY210" s="46"/>
      <c r="FRZ210" s="46"/>
      <c r="FSA210" s="46"/>
      <c r="FSB210" s="46"/>
      <c r="FSC210" s="46"/>
      <c r="FSD210" s="46"/>
      <c r="FSE210" s="46"/>
      <c r="FSF210" s="46"/>
      <c r="FSG210" s="46"/>
      <c r="FSH210" s="46"/>
      <c r="FSI210" s="46"/>
      <c r="FSJ210" s="46"/>
      <c r="FSK210" s="46"/>
      <c r="FSL210" s="46"/>
      <c r="FSM210" s="46"/>
      <c r="FSN210" s="46"/>
      <c r="FSO210" s="46"/>
      <c r="FSP210" s="46"/>
      <c r="FSQ210" s="46"/>
      <c r="FSR210" s="46"/>
      <c r="FSS210" s="46"/>
      <c r="FST210" s="46"/>
      <c r="FSU210" s="46"/>
      <c r="FSV210" s="46"/>
      <c r="FSW210" s="46"/>
      <c r="FSX210" s="46"/>
      <c r="FSY210" s="46"/>
      <c r="FSZ210" s="46"/>
      <c r="FTA210" s="46"/>
      <c r="FTB210" s="46"/>
      <c r="FTC210" s="46"/>
      <c r="FTD210" s="46"/>
      <c r="FTE210" s="46"/>
      <c r="FTF210" s="46"/>
      <c r="FTG210" s="46"/>
      <c r="FTH210" s="46"/>
      <c r="FTI210" s="46"/>
      <c r="FTJ210" s="46"/>
      <c r="FTK210" s="46"/>
      <c r="FTL210" s="46"/>
      <c r="FTM210" s="46"/>
      <c r="FTN210" s="46"/>
      <c r="FTO210" s="46"/>
      <c r="FTP210" s="46"/>
      <c r="FTQ210" s="46"/>
      <c r="FTR210" s="46"/>
      <c r="FTS210" s="46"/>
      <c r="FTT210" s="46"/>
      <c r="FTU210" s="46"/>
      <c r="FTV210" s="46"/>
      <c r="FTW210" s="46"/>
      <c r="FTX210" s="46"/>
      <c r="FTY210" s="46"/>
      <c r="FTZ210" s="46"/>
      <c r="FUA210" s="46"/>
      <c r="FUB210" s="46"/>
      <c r="FUC210" s="46"/>
      <c r="FUD210" s="46"/>
      <c r="FUE210" s="46"/>
      <c r="FUF210" s="46"/>
      <c r="FUG210" s="46"/>
      <c r="FUH210" s="46"/>
      <c r="FUI210" s="46"/>
      <c r="FUJ210" s="46"/>
      <c r="FUK210" s="46"/>
      <c r="FUL210" s="46"/>
      <c r="FUM210" s="46"/>
      <c r="FUN210" s="46"/>
      <c r="FUO210" s="46"/>
      <c r="FUP210" s="46"/>
      <c r="FUQ210" s="46"/>
      <c r="FUR210" s="46"/>
      <c r="FUS210" s="46"/>
      <c r="FUT210" s="46"/>
      <c r="FUU210" s="46"/>
      <c r="FUV210" s="46"/>
      <c r="FUW210" s="46"/>
      <c r="FUX210" s="46"/>
      <c r="FUY210" s="46"/>
      <c r="FUZ210" s="46"/>
      <c r="FVA210" s="46"/>
      <c r="FVB210" s="46"/>
      <c r="FVC210" s="46"/>
      <c r="FVD210" s="46"/>
      <c r="FVE210" s="46"/>
      <c r="FVF210" s="46"/>
      <c r="FVG210" s="46"/>
      <c r="FVH210" s="46"/>
      <c r="FVI210" s="46"/>
      <c r="FVJ210" s="46"/>
      <c r="FVK210" s="46"/>
      <c r="FVL210" s="46"/>
      <c r="FVM210" s="46"/>
      <c r="FVN210" s="46"/>
      <c r="FVO210" s="46"/>
      <c r="FVP210" s="46"/>
      <c r="FVQ210" s="46"/>
      <c r="FVR210" s="46"/>
      <c r="FVS210" s="46"/>
      <c r="FVT210" s="46"/>
      <c r="FVU210" s="46"/>
      <c r="FVV210" s="46"/>
      <c r="FVW210" s="46"/>
      <c r="FVX210" s="46"/>
      <c r="FVY210" s="46"/>
      <c r="FVZ210" s="46"/>
      <c r="FWA210" s="46"/>
      <c r="FWB210" s="46"/>
      <c r="FWC210" s="46"/>
      <c r="FWD210" s="46"/>
      <c r="FWE210" s="46"/>
      <c r="FWF210" s="46"/>
      <c r="FWG210" s="46"/>
      <c r="FWH210" s="46"/>
      <c r="FWI210" s="46"/>
      <c r="FWJ210" s="46"/>
      <c r="FWK210" s="46"/>
      <c r="FWL210" s="46"/>
      <c r="FWM210" s="46"/>
      <c r="FWN210" s="46"/>
      <c r="FWO210" s="46"/>
      <c r="FWP210" s="46"/>
      <c r="FWQ210" s="46"/>
      <c r="FWR210" s="46"/>
      <c r="FWS210" s="46"/>
      <c r="FWT210" s="46"/>
      <c r="FWU210" s="46"/>
      <c r="FWV210" s="46"/>
      <c r="FWW210" s="46"/>
      <c r="FWX210" s="46"/>
      <c r="FWY210" s="46"/>
      <c r="FWZ210" s="46"/>
      <c r="FXA210" s="46"/>
      <c r="FXB210" s="46"/>
      <c r="FXC210" s="46"/>
      <c r="FXD210" s="46"/>
      <c r="FXE210" s="46"/>
      <c r="FXF210" s="46"/>
      <c r="FXG210" s="46"/>
      <c r="FXH210" s="46"/>
      <c r="FXI210" s="46"/>
      <c r="FXJ210" s="46"/>
      <c r="FXK210" s="46"/>
      <c r="FXL210" s="46"/>
      <c r="FXM210" s="46"/>
      <c r="FXN210" s="46"/>
      <c r="FXO210" s="46"/>
      <c r="FXP210" s="46"/>
      <c r="FXQ210" s="46"/>
      <c r="FXR210" s="46"/>
      <c r="FXS210" s="46"/>
      <c r="FXT210" s="46"/>
      <c r="FXU210" s="46"/>
      <c r="FXV210" s="46"/>
      <c r="FXW210" s="46"/>
      <c r="FXX210" s="46"/>
      <c r="FXY210" s="46"/>
      <c r="FXZ210" s="46"/>
      <c r="FYA210" s="46"/>
      <c r="FYB210" s="46"/>
      <c r="FYC210" s="46"/>
      <c r="FYD210" s="46"/>
      <c r="FYE210" s="46"/>
      <c r="FYF210" s="46"/>
      <c r="FYG210" s="46"/>
      <c r="FYH210" s="46"/>
      <c r="FYI210" s="46"/>
      <c r="FYJ210" s="46"/>
      <c r="FYK210" s="46"/>
      <c r="FYL210" s="46"/>
      <c r="FYM210" s="46"/>
      <c r="FYN210" s="46"/>
      <c r="FYO210" s="46"/>
      <c r="FYP210" s="46"/>
      <c r="FYQ210" s="46"/>
      <c r="FYR210" s="46"/>
      <c r="FYS210" s="46"/>
      <c r="FYT210" s="46"/>
      <c r="FYU210" s="46"/>
      <c r="FYV210" s="46"/>
      <c r="FYW210" s="46"/>
      <c r="FYX210" s="46"/>
      <c r="FYY210" s="46"/>
      <c r="FYZ210" s="46"/>
      <c r="FZA210" s="46"/>
      <c r="FZB210" s="46"/>
      <c r="FZC210" s="46"/>
      <c r="FZD210" s="46"/>
      <c r="FZE210" s="46"/>
      <c r="FZF210" s="46"/>
      <c r="FZG210" s="46"/>
      <c r="FZH210" s="46"/>
      <c r="FZI210" s="46"/>
      <c r="FZJ210" s="46"/>
      <c r="FZK210" s="46"/>
      <c r="FZL210" s="46"/>
      <c r="FZM210" s="46"/>
      <c r="FZN210" s="46"/>
      <c r="FZO210" s="46"/>
      <c r="FZP210" s="46"/>
      <c r="FZQ210" s="46"/>
      <c r="FZR210" s="46"/>
      <c r="FZS210" s="46"/>
      <c r="FZT210" s="46"/>
      <c r="FZU210" s="46"/>
      <c r="FZV210" s="46"/>
      <c r="FZW210" s="46"/>
      <c r="FZX210" s="46"/>
      <c r="FZY210" s="46"/>
      <c r="FZZ210" s="46"/>
      <c r="GAA210" s="46"/>
      <c r="GAB210" s="46"/>
      <c r="GAC210" s="46"/>
      <c r="GAD210" s="46"/>
      <c r="GAE210" s="46"/>
      <c r="GAF210" s="46"/>
      <c r="GAG210" s="46"/>
      <c r="GAH210" s="46"/>
      <c r="GAI210" s="46"/>
      <c r="GAJ210" s="46"/>
      <c r="GAK210" s="46"/>
      <c r="GAL210" s="46"/>
      <c r="GAM210" s="46"/>
      <c r="GAN210" s="46"/>
      <c r="GAO210" s="46"/>
      <c r="GAP210" s="46"/>
      <c r="GAQ210" s="46"/>
      <c r="GAR210" s="46"/>
      <c r="GAS210" s="46"/>
      <c r="GAT210" s="46"/>
      <c r="GAU210" s="46"/>
      <c r="GAV210" s="46"/>
      <c r="GAW210" s="46"/>
      <c r="GAX210" s="46"/>
      <c r="GAY210" s="46"/>
      <c r="GAZ210" s="46"/>
      <c r="GBA210" s="46"/>
      <c r="GBB210" s="46"/>
      <c r="GBC210" s="46"/>
      <c r="GBD210" s="46"/>
      <c r="GBE210" s="46"/>
      <c r="GBF210" s="46"/>
      <c r="GBG210" s="46"/>
      <c r="GBH210" s="46"/>
      <c r="GBI210" s="46"/>
      <c r="GBJ210" s="46"/>
      <c r="GBK210" s="46"/>
      <c r="GBL210" s="46"/>
      <c r="GBM210" s="46"/>
      <c r="GBN210" s="46"/>
      <c r="GBO210" s="46"/>
      <c r="GBP210" s="46"/>
      <c r="GBQ210" s="46"/>
      <c r="GBR210" s="46"/>
      <c r="GBS210" s="46"/>
      <c r="GBT210" s="46"/>
      <c r="GBU210" s="46"/>
      <c r="GBV210" s="46"/>
      <c r="GBW210" s="46"/>
      <c r="GBX210" s="46"/>
      <c r="GBY210" s="46"/>
      <c r="GBZ210" s="46"/>
      <c r="GCA210" s="46"/>
      <c r="GCB210" s="46"/>
      <c r="GCC210" s="46"/>
      <c r="GCD210" s="46"/>
      <c r="GCE210" s="46"/>
      <c r="GCF210" s="46"/>
      <c r="GCG210" s="46"/>
      <c r="GCH210" s="46"/>
      <c r="GCI210" s="46"/>
      <c r="GCJ210" s="46"/>
      <c r="GCK210" s="46"/>
      <c r="GCL210" s="46"/>
      <c r="GCM210" s="46"/>
      <c r="GCN210" s="46"/>
      <c r="GCO210" s="46"/>
      <c r="GCP210" s="46"/>
      <c r="GCQ210" s="46"/>
      <c r="GCR210" s="46"/>
      <c r="GCS210" s="46"/>
      <c r="GCT210" s="46"/>
      <c r="GCU210" s="46"/>
      <c r="GCV210" s="46"/>
      <c r="GCW210" s="46"/>
      <c r="GCX210" s="46"/>
      <c r="GCY210" s="46"/>
      <c r="GCZ210" s="46"/>
      <c r="GDA210" s="46"/>
      <c r="GDB210" s="46"/>
      <c r="GDC210" s="46"/>
      <c r="GDD210" s="46"/>
      <c r="GDE210" s="46"/>
      <c r="GDF210" s="46"/>
      <c r="GDG210" s="46"/>
      <c r="GDH210" s="46"/>
      <c r="GDI210" s="46"/>
      <c r="GDJ210" s="46"/>
      <c r="GDK210" s="46"/>
      <c r="GDL210" s="46"/>
      <c r="GDM210" s="46"/>
      <c r="GDN210" s="46"/>
      <c r="GDO210" s="46"/>
      <c r="GDP210" s="46"/>
      <c r="GDQ210" s="46"/>
      <c r="GDR210" s="46"/>
      <c r="GDS210" s="46"/>
      <c r="GDT210" s="46"/>
      <c r="GDU210" s="46"/>
      <c r="GDV210" s="46"/>
      <c r="GDW210" s="46"/>
      <c r="GDX210" s="46"/>
      <c r="GDY210" s="46"/>
      <c r="GDZ210" s="46"/>
      <c r="GEA210" s="46"/>
      <c r="GEB210" s="46"/>
      <c r="GEC210" s="46"/>
      <c r="GED210" s="46"/>
      <c r="GEE210" s="46"/>
      <c r="GEF210" s="46"/>
      <c r="GEG210" s="46"/>
      <c r="GEH210" s="46"/>
      <c r="GEI210" s="46"/>
      <c r="GEJ210" s="46"/>
      <c r="GEK210" s="46"/>
      <c r="GEL210" s="46"/>
      <c r="GEM210" s="46"/>
      <c r="GEN210" s="46"/>
      <c r="GEO210" s="46"/>
      <c r="GEP210" s="46"/>
      <c r="GEQ210" s="46"/>
      <c r="GER210" s="46"/>
      <c r="GES210" s="46"/>
      <c r="GET210" s="46"/>
      <c r="GEU210" s="46"/>
      <c r="GEV210" s="46"/>
      <c r="GEW210" s="46"/>
      <c r="GEX210" s="46"/>
      <c r="GEY210" s="46"/>
      <c r="GEZ210" s="46"/>
      <c r="GFA210" s="46"/>
      <c r="GFB210" s="46"/>
      <c r="GFC210" s="46"/>
      <c r="GFD210" s="46"/>
      <c r="GFE210" s="46"/>
      <c r="GFF210" s="46"/>
      <c r="GFG210" s="46"/>
      <c r="GFH210" s="46"/>
      <c r="GFI210" s="46"/>
      <c r="GFJ210" s="46"/>
      <c r="GFK210" s="46"/>
      <c r="GFL210" s="46"/>
      <c r="GFM210" s="46"/>
      <c r="GFN210" s="46"/>
      <c r="GFO210" s="46"/>
      <c r="GFP210" s="46"/>
      <c r="GFQ210" s="46"/>
      <c r="GFR210" s="46"/>
      <c r="GFS210" s="46"/>
      <c r="GFT210" s="46"/>
      <c r="GFU210" s="46"/>
      <c r="GFV210" s="46"/>
      <c r="GFW210" s="46"/>
      <c r="GFX210" s="46"/>
      <c r="GFY210" s="46"/>
      <c r="GFZ210" s="46"/>
      <c r="GGA210" s="46"/>
      <c r="GGB210" s="46"/>
      <c r="GGC210" s="46"/>
      <c r="GGD210" s="46"/>
      <c r="GGE210" s="46"/>
      <c r="GGF210" s="46"/>
      <c r="GGG210" s="46"/>
      <c r="GGH210" s="46"/>
      <c r="GGI210" s="46"/>
      <c r="GGJ210" s="46"/>
      <c r="GGK210" s="46"/>
      <c r="GGL210" s="46"/>
      <c r="GGM210" s="46"/>
      <c r="GGN210" s="46"/>
      <c r="GGO210" s="46"/>
      <c r="GGP210" s="46"/>
      <c r="GGQ210" s="46"/>
      <c r="GGR210" s="46"/>
      <c r="GGS210" s="46"/>
      <c r="GGT210" s="46"/>
      <c r="GGU210" s="46"/>
      <c r="GGV210" s="46"/>
      <c r="GGW210" s="46"/>
      <c r="GGX210" s="46"/>
      <c r="GGY210" s="46"/>
      <c r="GGZ210" s="46"/>
      <c r="GHA210" s="46"/>
      <c r="GHB210" s="46"/>
      <c r="GHC210" s="46"/>
      <c r="GHD210" s="46"/>
      <c r="GHE210" s="46"/>
      <c r="GHF210" s="46"/>
      <c r="GHG210" s="46"/>
      <c r="GHH210" s="46"/>
      <c r="GHI210" s="46"/>
      <c r="GHJ210" s="46"/>
      <c r="GHK210" s="46"/>
      <c r="GHL210" s="46"/>
      <c r="GHM210" s="46"/>
      <c r="GHN210" s="46"/>
      <c r="GHO210" s="46"/>
      <c r="GHP210" s="46"/>
      <c r="GHQ210" s="46"/>
      <c r="GHR210" s="46"/>
      <c r="GHS210" s="46"/>
      <c r="GHT210" s="46"/>
      <c r="GHU210" s="46"/>
      <c r="GHV210" s="46"/>
      <c r="GHW210" s="46"/>
      <c r="GHX210" s="46"/>
      <c r="GHY210" s="46"/>
      <c r="GHZ210" s="46"/>
      <c r="GIA210" s="46"/>
      <c r="GIB210" s="46"/>
      <c r="GIC210" s="46"/>
      <c r="GID210" s="46"/>
      <c r="GIE210" s="46"/>
      <c r="GIF210" s="46"/>
      <c r="GIG210" s="46"/>
      <c r="GIH210" s="46"/>
      <c r="GII210" s="46"/>
      <c r="GIJ210" s="46"/>
      <c r="GIK210" s="46"/>
      <c r="GIL210" s="46"/>
      <c r="GIM210" s="46"/>
      <c r="GIN210" s="46"/>
      <c r="GIO210" s="46"/>
      <c r="GIP210" s="46"/>
      <c r="GIQ210" s="46"/>
      <c r="GIR210" s="46"/>
      <c r="GIS210" s="46"/>
      <c r="GIT210" s="46"/>
      <c r="GIU210" s="46"/>
      <c r="GIV210" s="46"/>
      <c r="GIW210" s="46"/>
      <c r="GIX210" s="46"/>
      <c r="GIY210" s="46"/>
      <c r="GIZ210" s="46"/>
      <c r="GJA210" s="46"/>
      <c r="GJB210" s="46"/>
      <c r="GJC210" s="46"/>
      <c r="GJD210" s="46"/>
      <c r="GJE210" s="46"/>
      <c r="GJF210" s="46"/>
      <c r="GJG210" s="46"/>
      <c r="GJH210" s="46"/>
      <c r="GJI210" s="46"/>
      <c r="GJJ210" s="46"/>
      <c r="GJK210" s="46"/>
      <c r="GJL210" s="46"/>
      <c r="GJM210" s="46"/>
      <c r="GJN210" s="46"/>
      <c r="GJO210" s="46"/>
      <c r="GJP210" s="46"/>
      <c r="GJQ210" s="46"/>
      <c r="GJR210" s="46"/>
      <c r="GJS210" s="46"/>
      <c r="GJT210" s="46"/>
      <c r="GJU210" s="46"/>
      <c r="GJV210" s="46"/>
      <c r="GJW210" s="46"/>
      <c r="GJX210" s="46"/>
      <c r="GJY210" s="46"/>
      <c r="GJZ210" s="46"/>
      <c r="GKA210" s="46"/>
      <c r="GKB210" s="46"/>
      <c r="GKC210" s="46"/>
      <c r="GKD210" s="46"/>
      <c r="GKE210" s="46"/>
      <c r="GKF210" s="46"/>
      <c r="GKG210" s="46"/>
      <c r="GKH210" s="46"/>
      <c r="GKI210" s="46"/>
      <c r="GKJ210" s="46"/>
      <c r="GKK210" s="46"/>
      <c r="GKL210" s="46"/>
      <c r="GKM210" s="46"/>
      <c r="GKN210" s="46"/>
      <c r="GKO210" s="46"/>
      <c r="GKP210" s="46"/>
      <c r="GKQ210" s="46"/>
      <c r="GKR210" s="46"/>
      <c r="GKS210" s="46"/>
      <c r="GKT210" s="46"/>
      <c r="GKU210" s="46"/>
      <c r="GKV210" s="46"/>
      <c r="GKW210" s="46"/>
      <c r="GKX210" s="46"/>
      <c r="GKY210" s="46"/>
      <c r="GKZ210" s="46"/>
      <c r="GLA210" s="46"/>
      <c r="GLB210" s="46"/>
      <c r="GLC210" s="46"/>
      <c r="GLD210" s="46"/>
      <c r="GLE210" s="46"/>
      <c r="GLF210" s="46"/>
      <c r="GLG210" s="46"/>
      <c r="GLH210" s="46"/>
      <c r="GLI210" s="46"/>
      <c r="GLJ210" s="46"/>
      <c r="GLK210" s="46"/>
      <c r="GLL210" s="46"/>
      <c r="GLM210" s="46"/>
      <c r="GLN210" s="46"/>
      <c r="GLO210" s="46"/>
      <c r="GLP210" s="46"/>
      <c r="GLQ210" s="46"/>
      <c r="GLR210" s="46"/>
      <c r="GLS210" s="46"/>
      <c r="GLT210" s="46"/>
      <c r="GLU210" s="46"/>
      <c r="GLV210" s="46"/>
      <c r="GLW210" s="46"/>
      <c r="GLX210" s="46"/>
      <c r="GLY210" s="46"/>
      <c r="GLZ210" s="46"/>
      <c r="GMA210" s="46"/>
      <c r="GMB210" s="46"/>
      <c r="GMC210" s="46"/>
      <c r="GMD210" s="46"/>
      <c r="GME210" s="46"/>
      <c r="GMF210" s="46"/>
      <c r="GMG210" s="46"/>
      <c r="GMH210" s="46"/>
      <c r="GMI210" s="46"/>
      <c r="GMJ210" s="46"/>
      <c r="GMK210" s="46"/>
      <c r="GML210" s="46"/>
      <c r="GMM210" s="46"/>
      <c r="GMN210" s="46"/>
      <c r="GMO210" s="46"/>
      <c r="GMP210" s="46"/>
      <c r="GMQ210" s="46"/>
      <c r="GMR210" s="46"/>
      <c r="GMS210" s="46"/>
      <c r="GMT210" s="46"/>
      <c r="GMU210" s="46"/>
      <c r="GMV210" s="46"/>
      <c r="GMW210" s="46"/>
      <c r="GMX210" s="46"/>
      <c r="GMY210" s="46"/>
      <c r="GMZ210" s="46"/>
      <c r="GNA210" s="46"/>
      <c r="GNB210" s="46"/>
      <c r="GNC210" s="46"/>
      <c r="GND210" s="46"/>
      <c r="GNE210" s="46"/>
      <c r="GNF210" s="46"/>
      <c r="GNG210" s="46"/>
      <c r="GNH210" s="46"/>
      <c r="GNI210" s="46"/>
      <c r="GNJ210" s="46"/>
      <c r="GNK210" s="46"/>
      <c r="GNL210" s="46"/>
      <c r="GNM210" s="46"/>
      <c r="GNN210" s="46"/>
      <c r="GNO210" s="46"/>
      <c r="GNP210" s="46"/>
      <c r="GNQ210" s="46"/>
      <c r="GNR210" s="46"/>
      <c r="GNS210" s="46"/>
      <c r="GNT210" s="46"/>
      <c r="GNU210" s="46"/>
      <c r="GNV210" s="46"/>
      <c r="GNW210" s="46"/>
      <c r="GNX210" s="46"/>
      <c r="GNY210" s="46"/>
      <c r="GNZ210" s="46"/>
      <c r="GOA210" s="46"/>
      <c r="GOB210" s="46"/>
      <c r="GOC210" s="46"/>
      <c r="GOD210" s="46"/>
      <c r="GOE210" s="46"/>
      <c r="GOF210" s="46"/>
      <c r="GOG210" s="46"/>
      <c r="GOH210" s="46"/>
      <c r="GOI210" s="46"/>
      <c r="GOJ210" s="46"/>
      <c r="GOK210" s="46"/>
      <c r="GOL210" s="46"/>
      <c r="GOM210" s="46"/>
      <c r="GON210" s="46"/>
      <c r="GOO210" s="46"/>
      <c r="GOP210" s="46"/>
      <c r="GOQ210" s="46"/>
      <c r="GOR210" s="46"/>
      <c r="GOS210" s="46"/>
      <c r="GOT210" s="46"/>
      <c r="GOU210" s="46"/>
      <c r="GOV210" s="46"/>
      <c r="GOW210" s="46"/>
      <c r="GOX210" s="46"/>
      <c r="GOY210" s="46"/>
      <c r="GOZ210" s="46"/>
      <c r="GPA210" s="46"/>
      <c r="GPB210" s="46"/>
      <c r="GPC210" s="46"/>
      <c r="GPD210" s="46"/>
      <c r="GPE210" s="46"/>
      <c r="GPF210" s="46"/>
      <c r="GPG210" s="46"/>
      <c r="GPH210" s="46"/>
      <c r="GPI210" s="46"/>
      <c r="GPJ210" s="46"/>
      <c r="GPK210" s="46"/>
      <c r="GPL210" s="46"/>
      <c r="GPM210" s="46"/>
      <c r="GPN210" s="46"/>
      <c r="GPO210" s="46"/>
      <c r="GPP210" s="46"/>
      <c r="GPQ210" s="46"/>
      <c r="GPR210" s="46"/>
      <c r="GPS210" s="46"/>
      <c r="GPT210" s="46"/>
      <c r="GPU210" s="46"/>
      <c r="GPV210" s="46"/>
      <c r="GPW210" s="46"/>
      <c r="GPX210" s="46"/>
      <c r="GPY210" s="46"/>
      <c r="GPZ210" s="46"/>
      <c r="GQA210" s="46"/>
      <c r="GQB210" s="46"/>
      <c r="GQC210" s="46"/>
      <c r="GQD210" s="46"/>
      <c r="GQE210" s="46"/>
      <c r="GQF210" s="46"/>
      <c r="GQG210" s="46"/>
      <c r="GQH210" s="46"/>
      <c r="GQI210" s="46"/>
      <c r="GQJ210" s="46"/>
      <c r="GQK210" s="46"/>
      <c r="GQL210" s="46"/>
      <c r="GQM210" s="46"/>
      <c r="GQN210" s="46"/>
      <c r="GQO210" s="46"/>
      <c r="GQP210" s="46"/>
      <c r="GQQ210" s="46"/>
      <c r="GQR210" s="46"/>
      <c r="GQS210" s="46"/>
      <c r="GQT210" s="46"/>
      <c r="GQU210" s="46"/>
      <c r="GQV210" s="46"/>
      <c r="GQW210" s="46"/>
      <c r="GQX210" s="46"/>
      <c r="GQY210" s="46"/>
      <c r="GQZ210" s="46"/>
      <c r="GRA210" s="46"/>
      <c r="GRB210" s="46"/>
      <c r="GRC210" s="46"/>
      <c r="GRD210" s="46"/>
      <c r="GRE210" s="46"/>
      <c r="GRF210" s="46"/>
      <c r="GRG210" s="46"/>
      <c r="GRH210" s="46"/>
      <c r="GRI210" s="46"/>
      <c r="GRJ210" s="46"/>
      <c r="GRK210" s="46"/>
      <c r="GRL210" s="46"/>
      <c r="GRM210" s="46"/>
      <c r="GRN210" s="46"/>
      <c r="GRO210" s="46"/>
      <c r="GRP210" s="46"/>
      <c r="GRQ210" s="46"/>
      <c r="GRR210" s="46"/>
      <c r="GRS210" s="46"/>
      <c r="GRT210" s="46"/>
      <c r="GRU210" s="46"/>
      <c r="GRV210" s="46"/>
      <c r="GRW210" s="46"/>
      <c r="GRX210" s="46"/>
      <c r="GRY210" s="46"/>
      <c r="GRZ210" s="46"/>
      <c r="GSA210" s="46"/>
      <c r="GSB210" s="46"/>
      <c r="GSC210" s="46"/>
      <c r="GSD210" s="46"/>
      <c r="GSE210" s="46"/>
      <c r="GSF210" s="46"/>
      <c r="GSG210" s="46"/>
      <c r="GSH210" s="46"/>
      <c r="GSI210" s="46"/>
      <c r="GSJ210" s="46"/>
      <c r="GSK210" s="46"/>
      <c r="GSL210" s="46"/>
      <c r="GSM210" s="46"/>
      <c r="GSN210" s="46"/>
      <c r="GSO210" s="46"/>
      <c r="GSP210" s="46"/>
      <c r="GSQ210" s="46"/>
      <c r="GSR210" s="46"/>
      <c r="GSS210" s="46"/>
      <c r="GST210" s="46"/>
      <c r="GSU210" s="46"/>
      <c r="GSV210" s="46"/>
      <c r="GSW210" s="46"/>
      <c r="GSX210" s="46"/>
      <c r="GSY210" s="46"/>
      <c r="GSZ210" s="46"/>
      <c r="GTA210" s="46"/>
      <c r="GTB210" s="46"/>
      <c r="GTC210" s="46"/>
      <c r="GTD210" s="46"/>
      <c r="GTE210" s="46"/>
      <c r="GTF210" s="46"/>
      <c r="GTG210" s="46"/>
      <c r="GTH210" s="46"/>
      <c r="GTI210" s="46"/>
      <c r="GTJ210" s="46"/>
      <c r="GTK210" s="46"/>
      <c r="GTL210" s="46"/>
      <c r="GTM210" s="46"/>
      <c r="GTN210" s="46"/>
      <c r="GTO210" s="46"/>
      <c r="GTP210" s="46"/>
      <c r="GTQ210" s="46"/>
      <c r="GTR210" s="46"/>
      <c r="GTS210" s="46"/>
      <c r="GTT210" s="46"/>
      <c r="GTU210" s="46"/>
      <c r="GTV210" s="46"/>
      <c r="GTW210" s="46"/>
      <c r="GTX210" s="46"/>
      <c r="GTY210" s="46"/>
      <c r="GTZ210" s="46"/>
      <c r="GUA210" s="46"/>
      <c r="GUB210" s="46"/>
      <c r="GUC210" s="46"/>
      <c r="GUD210" s="46"/>
      <c r="GUE210" s="46"/>
      <c r="GUF210" s="46"/>
      <c r="GUG210" s="46"/>
      <c r="GUH210" s="46"/>
      <c r="GUI210" s="46"/>
      <c r="GUJ210" s="46"/>
      <c r="GUK210" s="46"/>
      <c r="GUL210" s="46"/>
      <c r="GUM210" s="46"/>
      <c r="GUN210" s="46"/>
      <c r="GUO210" s="46"/>
      <c r="GUP210" s="46"/>
      <c r="GUQ210" s="46"/>
      <c r="GUR210" s="46"/>
      <c r="GUS210" s="46"/>
      <c r="GUT210" s="46"/>
      <c r="GUU210" s="46"/>
      <c r="GUV210" s="46"/>
      <c r="GUW210" s="46"/>
      <c r="GUX210" s="46"/>
      <c r="GUY210" s="46"/>
      <c r="GUZ210" s="46"/>
      <c r="GVA210" s="46"/>
      <c r="GVB210" s="46"/>
      <c r="GVC210" s="46"/>
      <c r="GVD210" s="46"/>
      <c r="GVE210" s="46"/>
      <c r="GVF210" s="46"/>
      <c r="GVG210" s="46"/>
      <c r="GVH210" s="46"/>
      <c r="GVI210" s="46"/>
      <c r="GVJ210" s="46"/>
      <c r="GVK210" s="46"/>
      <c r="GVL210" s="46"/>
      <c r="GVM210" s="46"/>
      <c r="GVN210" s="46"/>
      <c r="GVO210" s="46"/>
      <c r="GVP210" s="46"/>
      <c r="GVQ210" s="46"/>
      <c r="GVR210" s="46"/>
      <c r="GVS210" s="46"/>
      <c r="GVT210" s="46"/>
      <c r="GVU210" s="46"/>
      <c r="GVV210" s="46"/>
      <c r="GVW210" s="46"/>
      <c r="GVX210" s="46"/>
      <c r="GVY210" s="46"/>
      <c r="GVZ210" s="46"/>
      <c r="GWA210" s="46"/>
      <c r="GWB210" s="46"/>
      <c r="GWC210" s="46"/>
      <c r="GWD210" s="46"/>
      <c r="GWE210" s="46"/>
      <c r="GWF210" s="46"/>
      <c r="GWG210" s="46"/>
      <c r="GWH210" s="46"/>
      <c r="GWI210" s="46"/>
      <c r="GWJ210" s="46"/>
      <c r="GWK210" s="46"/>
      <c r="GWL210" s="46"/>
      <c r="GWM210" s="46"/>
      <c r="GWN210" s="46"/>
      <c r="GWO210" s="46"/>
      <c r="GWP210" s="46"/>
      <c r="GWQ210" s="46"/>
      <c r="GWR210" s="46"/>
      <c r="GWS210" s="46"/>
      <c r="GWT210" s="46"/>
      <c r="GWU210" s="46"/>
      <c r="GWV210" s="46"/>
      <c r="GWW210" s="46"/>
      <c r="GWX210" s="46"/>
      <c r="GWY210" s="46"/>
      <c r="GWZ210" s="46"/>
      <c r="GXA210" s="46"/>
      <c r="GXB210" s="46"/>
      <c r="GXC210" s="46"/>
      <c r="GXD210" s="46"/>
      <c r="GXE210" s="46"/>
      <c r="GXF210" s="46"/>
      <c r="GXG210" s="46"/>
      <c r="GXH210" s="46"/>
      <c r="GXI210" s="46"/>
      <c r="GXJ210" s="46"/>
      <c r="GXK210" s="46"/>
      <c r="GXL210" s="46"/>
      <c r="GXM210" s="46"/>
      <c r="GXN210" s="46"/>
      <c r="GXO210" s="46"/>
      <c r="GXP210" s="46"/>
      <c r="GXQ210" s="46"/>
      <c r="GXR210" s="46"/>
      <c r="GXS210" s="46"/>
      <c r="GXT210" s="46"/>
      <c r="GXU210" s="46"/>
      <c r="GXV210" s="46"/>
      <c r="GXW210" s="46"/>
      <c r="GXX210" s="46"/>
      <c r="GXY210" s="46"/>
      <c r="GXZ210" s="46"/>
      <c r="GYA210" s="46"/>
      <c r="GYB210" s="46"/>
      <c r="GYC210" s="46"/>
      <c r="GYD210" s="46"/>
      <c r="GYE210" s="46"/>
      <c r="GYF210" s="46"/>
      <c r="GYG210" s="46"/>
      <c r="GYH210" s="46"/>
      <c r="GYI210" s="46"/>
      <c r="GYJ210" s="46"/>
      <c r="GYK210" s="46"/>
      <c r="GYL210" s="46"/>
      <c r="GYM210" s="46"/>
      <c r="GYN210" s="46"/>
      <c r="GYO210" s="46"/>
      <c r="GYP210" s="46"/>
      <c r="GYQ210" s="46"/>
      <c r="GYR210" s="46"/>
      <c r="GYS210" s="46"/>
      <c r="GYT210" s="46"/>
      <c r="GYU210" s="46"/>
      <c r="GYV210" s="46"/>
      <c r="GYW210" s="46"/>
      <c r="GYX210" s="46"/>
      <c r="GYY210" s="46"/>
      <c r="GYZ210" s="46"/>
      <c r="GZA210" s="46"/>
      <c r="GZB210" s="46"/>
      <c r="GZC210" s="46"/>
      <c r="GZD210" s="46"/>
      <c r="GZE210" s="46"/>
      <c r="GZF210" s="46"/>
      <c r="GZG210" s="46"/>
      <c r="GZH210" s="46"/>
      <c r="GZI210" s="46"/>
      <c r="GZJ210" s="46"/>
      <c r="GZK210" s="46"/>
      <c r="GZL210" s="46"/>
      <c r="GZM210" s="46"/>
      <c r="GZN210" s="46"/>
      <c r="GZO210" s="46"/>
      <c r="GZP210" s="46"/>
      <c r="GZQ210" s="46"/>
      <c r="GZR210" s="46"/>
      <c r="GZS210" s="46"/>
      <c r="GZT210" s="46"/>
      <c r="GZU210" s="46"/>
      <c r="GZV210" s="46"/>
      <c r="GZW210" s="46"/>
      <c r="GZX210" s="46"/>
      <c r="GZY210" s="46"/>
      <c r="GZZ210" s="46"/>
      <c r="HAA210" s="46"/>
      <c r="HAB210" s="46"/>
      <c r="HAC210" s="46"/>
      <c r="HAD210" s="46"/>
      <c r="HAE210" s="46"/>
      <c r="HAF210" s="46"/>
      <c r="HAG210" s="46"/>
      <c r="HAH210" s="46"/>
      <c r="HAI210" s="46"/>
      <c r="HAJ210" s="46"/>
      <c r="HAK210" s="46"/>
      <c r="HAL210" s="46"/>
      <c r="HAM210" s="46"/>
      <c r="HAN210" s="46"/>
      <c r="HAO210" s="46"/>
      <c r="HAP210" s="46"/>
      <c r="HAQ210" s="46"/>
      <c r="HAR210" s="46"/>
      <c r="HAS210" s="46"/>
      <c r="HAT210" s="46"/>
      <c r="HAU210" s="46"/>
      <c r="HAV210" s="46"/>
      <c r="HAW210" s="46"/>
      <c r="HAX210" s="46"/>
      <c r="HAY210" s="46"/>
      <c r="HAZ210" s="46"/>
      <c r="HBA210" s="46"/>
      <c r="HBB210" s="46"/>
      <c r="HBC210" s="46"/>
      <c r="HBD210" s="46"/>
      <c r="HBE210" s="46"/>
      <c r="HBF210" s="46"/>
      <c r="HBG210" s="46"/>
      <c r="HBH210" s="46"/>
      <c r="HBI210" s="46"/>
      <c r="HBJ210" s="46"/>
      <c r="HBK210" s="46"/>
      <c r="HBL210" s="46"/>
      <c r="HBM210" s="46"/>
      <c r="HBN210" s="46"/>
      <c r="HBO210" s="46"/>
      <c r="HBP210" s="46"/>
      <c r="HBQ210" s="46"/>
      <c r="HBR210" s="46"/>
      <c r="HBS210" s="46"/>
      <c r="HBT210" s="46"/>
      <c r="HBU210" s="46"/>
      <c r="HBV210" s="46"/>
      <c r="HBW210" s="46"/>
      <c r="HBX210" s="46"/>
      <c r="HBY210" s="46"/>
      <c r="HBZ210" s="46"/>
      <c r="HCA210" s="46"/>
      <c r="HCB210" s="46"/>
      <c r="HCC210" s="46"/>
      <c r="HCD210" s="46"/>
      <c r="HCE210" s="46"/>
      <c r="HCF210" s="46"/>
      <c r="HCG210" s="46"/>
      <c r="HCH210" s="46"/>
      <c r="HCI210" s="46"/>
      <c r="HCJ210" s="46"/>
      <c r="HCK210" s="46"/>
      <c r="HCL210" s="46"/>
      <c r="HCM210" s="46"/>
      <c r="HCN210" s="46"/>
      <c r="HCO210" s="46"/>
      <c r="HCP210" s="46"/>
      <c r="HCQ210" s="46"/>
      <c r="HCR210" s="46"/>
      <c r="HCS210" s="46"/>
      <c r="HCT210" s="46"/>
      <c r="HCU210" s="46"/>
      <c r="HCV210" s="46"/>
      <c r="HCW210" s="46"/>
      <c r="HCX210" s="46"/>
      <c r="HCY210" s="46"/>
      <c r="HCZ210" s="46"/>
      <c r="HDA210" s="46"/>
      <c r="HDB210" s="46"/>
      <c r="HDC210" s="46"/>
      <c r="HDD210" s="46"/>
      <c r="HDE210" s="46"/>
      <c r="HDF210" s="46"/>
      <c r="HDG210" s="46"/>
      <c r="HDH210" s="46"/>
      <c r="HDI210" s="46"/>
      <c r="HDJ210" s="46"/>
      <c r="HDK210" s="46"/>
      <c r="HDL210" s="46"/>
      <c r="HDM210" s="46"/>
      <c r="HDN210" s="46"/>
      <c r="HDO210" s="46"/>
      <c r="HDP210" s="46"/>
      <c r="HDQ210" s="46"/>
      <c r="HDR210" s="46"/>
      <c r="HDS210" s="46"/>
      <c r="HDT210" s="46"/>
      <c r="HDU210" s="46"/>
      <c r="HDV210" s="46"/>
      <c r="HDW210" s="46"/>
      <c r="HDX210" s="46"/>
      <c r="HDY210" s="46"/>
      <c r="HDZ210" s="46"/>
      <c r="HEA210" s="46"/>
      <c r="HEB210" s="46"/>
      <c r="HEC210" s="46"/>
      <c r="HED210" s="46"/>
      <c r="HEE210" s="46"/>
      <c r="HEF210" s="46"/>
      <c r="HEG210" s="46"/>
      <c r="HEH210" s="46"/>
      <c r="HEI210" s="46"/>
      <c r="HEJ210" s="46"/>
      <c r="HEK210" s="46"/>
      <c r="HEL210" s="46"/>
      <c r="HEM210" s="46"/>
      <c r="HEN210" s="46"/>
      <c r="HEO210" s="46"/>
      <c r="HEP210" s="46"/>
      <c r="HEQ210" s="46"/>
      <c r="HER210" s="46"/>
      <c r="HES210" s="46"/>
      <c r="HET210" s="46"/>
      <c r="HEU210" s="46"/>
      <c r="HEV210" s="46"/>
      <c r="HEW210" s="46"/>
      <c r="HEX210" s="46"/>
      <c r="HEY210" s="46"/>
      <c r="HEZ210" s="46"/>
      <c r="HFA210" s="46"/>
      <c r="HFB210" s="46"/>
      <c r="HFC210" s="46"/>
      <c r="HFD210" s="46"/>
      <c r="HFE210" s="46"/>
      <c r="HFF210" s="46"/>
      <c r="HFG210" s="46"/>
      <c r="HFH210" s="46"/>
      <c r="HFI210" s="46"/>
      <c r="HFJ210" s="46"/>
      <c r="HFK210" s="46"/>
      <c r="HFL210" s="46"/>
      <c r="HFM210" s="46"/>
      <c r="HFN210" s="46"/>
      <c r="HFO210" s="46"/>
      <c r="HFP210" s="46"/>
      <c r="HFQ210" s="46"/>
      <c r="HFR210" s="46"/>
      <c r="HFS210" s="46"/>
      <c r="HFT210" s="46"/>
      <c r="HFU210" s="46"/>
      <c r="HFV210" s="46"/>
      <c r="HFW210" s="46"/>
      <c r="HFX210" s="46"/>
      <c r="HFY210" s="46"/>
      <c r="HFZ210" s="46"/>
      <c r="HGA210" s="46"/>
      <c r="HGB210" s="46"/>
      <c r="HGC210" s="46"/>
      <c r="HGD210" s="46"/>
      <c r="HGE210" s="46"/>
      <c r="HGF210" s="46"/>
      <c r="HGG210" s="46"/>
      <c r="HGH210" s="46"/>
      <c r="HGI210" s="46"/>
      <c r="HGJ210" s="46"/>
      <c r="HGK210" s="46"/>
      <c r="HGL210" s="46"/>
      <c r="HGM210" s="46"/>
      <c r="HGN210" s="46"/>
      <c r="HGO210" s="46"/>
      <c r="HGP210" s="46"/>
      <c r="HGQ210" s="46"/>
      <c r="HGR210" s="46"/>
      <c r="HGS210" s="46"/>
      <c r="HGT210" s="46"/>
      <c r="HGU210" s="46"/>
      <c r="HGV210" s="46"/>
      <c r="HGW210" s="46"/>
      <c r="HGX210" s="46"/>
      <c r="HGY210" s="46"/>
      <c r="HGZ210" s="46"/>
      <c r="HHA210" s="46"/>
      <c r="HHB210" s="46"/>
      <c r="HHC210" s="46"/>
      <c r="HHD210" s="46"/>
      <c r="HHE210" s="46"/>
      <c r="HHF210" s="46"/>
      <c r="HHG210" s="46"/>
      <c r="HHH210" s="46"/>
      <c r="HHI210" s="46"/>
      <c r="HHJ210" s="46"/>
      <c r="HHK210" s="46"/>
      <c r="HHL210" s="46"/>
      <c r="HHM210" s="46"/>
      <c r="HHN210" s="46"/>
      <c r="HHO210" s="46"/>
      <c r="HHP210" s="46"/>
      <c r="HHQ210" s="46"/>
      <c r="HHR210" s="46"/>
      <c r="HHS210" s="46"/>
      <c r="HHT210" s="46"/>
      <c r="HHU210" s="46"/>
      <c r="HHV210" s="46"/>
      <c r="HHW210" s="46"/>
      <c r="HHX210" s="46"/>
      <c r="HHY210" s="46"/>
      <c r="HHZ210" s="46"/>
      <c r="HIA210" s="46"/>
      <c r="HIB210" s="46"/>
      <c r="HIC210" s="46"/>
      <c r="HID210" s="46"/>
      <c r="HIE210" s="46"/>
      <c r="HIF210" s="46"/>
      <c r="HIG210" s="46"/>
      <c r="HIH210" s="46"/>
      <c r="HII210" s="46"/>
      <c r="HIJ210" s="46"/>
      <c r="HIK210" s="46"/>
      <c r="HIL210" s="46"/>
      <c r="HIM210" s="46"/>
      <c r="HIN210" s="46"/>
      <c r="HIO210" s="46"/>
      <c r="HIP210" s="46"/>
      <c r="HIQ210" s="46"/>
      <c r="HIR210" s="46"/>
      <c r="HIS210" s="46"/>
      <c r="HIT210" s="46"/>
      <c r="HIU210" s="46"/>
      <c r="HIV210" s="46"/>
      <c r="HIW210" s="46"/>
      <c r="HIX210" s="46"/>
      <c r="HIY210" s="46"/>
      <c r="HIZ210" s="46"/>
      <c r="HJA210" s="46"/>
      <c r="HJB210" s="46"/>
      <c r="HJC210" s="46"/>
      <c r="HJD210" s="46"/>
      <c r="HJE210" s="46"/>
      <c r="HJF210" s="46"/>
      <c r="HJG210" s="46"/>
      <c r="HJH210" s="46"/>
      <c r="HJI210" s="46"/>
      <c r="HJJ210" s="46"/>
      <c r="HJK210" s="46"/>
      <c r="HJL210" s="46"/>
      <c r="HJM210" s="46"/>
      <c r="HJN210" s="46"/>
      <c r="HJO210" s="46"/>
      <c r="HJP210" s="46"/>
      <c r="HJQ210" s="46"/>
      <c r="HJR210" s="46"/>
      <c r="HJS210" s="46"/>
      <c r="HJT210" s="46"/>
      <c r="HJU210" s="46"/>
      <c r="HJV210" s="46"/>
      <c r="HJW210" s="46"/>
      <c r="HJX210" s="46"/>
      <c r="HJY210" s="46"/>
      <c r="HJZ210" s="46"/>
      <c r="HKA210" s="46"/>
      <c r="HKB210" s="46"/>
      <c r="HKC210" s="46"/>
      <c r="HKD210" s="46"/>
      <c r="HKE210" s="46"/>
      <c r="HKF210" s="46"/>
      <c r="HKG210" s="46"/>
      <c r="HKH210" s="46"/>
      <c r="HKI210" s="46"/>
      <c r="HKJ210" s="46"/>
      <c r="HKK210" s="46"/>
      <c r="HKL210" s="46"/>
      <c r="HKM210" s="46"/>
      <c r="HKN210" s="46"/>
      <c r="HKO210" s="46"/>
      <c r="HKP210" s="46"/>
      <c r="HKQ210" s="46"/>
      <c r="HKR210" s="46"/>
      <c r="HKS210" s="46"/>
      <c r="HKT210" s="46"/>
      <c r="HKU210" s="46"/>
      <c r="HKV210" s="46"/>
      <c r="HKW210" s="46"/>
      <c r="HKX210" s="46"/>
      <c r="HKY210" s="46"/>
      <c r="HKZ210" s="46"/>
      <c r="HLA210" s="46"/>
      <c r="HLB210" s="46"/>
      <c r="HLC210" s="46"/>
      <c r="HLD210" s="46"/>
      <c r="HLE210" s="46"/>
      <c r="HLF210" s="46"/>
      <c r="HLG210" s="46"/>
      <c r="HLH210" s="46"/>
      <c r="HLI210" s="46"/>
      <c r="HLJ210" s="46"/>
      <c r="HLK210" s="46"/>
      <c r="HLL210" s="46"/>
      <c r="HLM210" s="46"/>
      <c r="HLN210" s="46"/>
      <c r="HLO210" s="46"/>
      <c r="HLP210" s="46"/>
      <c r="HLQ210" s="46"/>
      <c r="HLR210" s="46"/>
      <c r="HLS210" s="46"/>
      <c r="HLT210" s="46"/>
      <c r="HLU210" s="46"/>
      <c r="HLV210" s="46"/>
      <c r="HLW210" s="46"/>
      <c r="HLX210" s="46"/>
      <c r="HLY210" s="46"/>
      <c r="HLZ210" s="46"/>
      <c r="HMA210" s="46"/>
      <c r="HMB210" s="46"/>
      <c r="HMC210" s="46"/>
      <c r="HMD210" s="46"/>
      <c r="HME210" s="46"/>
      <c r="HMF210" s="46"/>
      <c r="HMG210" s="46"/>
      <c r="HMH210" s="46"/>
      <c r="HMI210" s="46"/>
      <c r="HMJ210" s="46"/>
      <c r="HMK210" s="46"/>
      <c r="HML210" s="46"/>
      <c r="HMM210" s="46"/>
      <c r="HMN210" s="46"/>
      <c r="HMO210" s="46"/>
      <c r="HMP210" s="46"/>
      <c r="HMQ210" s="46"/>
      <c r="HMR210" s="46"/>
      <c r="HMS210" s="46"/>
      <c r="HMT210" s="46"/>
      <c r="HMU210" s="46"/>
      <c r="HMV210" s="46"/>
      <c r="HMW210" s="46"/>
      <c r="HMX210" s="46"/>
      <c r="HMY210" s="46"/>
      <c r="HMZ210" s="46"/>
      <c r="HNA210" s="46"/>
      <c r="HNB210" s="46"/>
      <c r="HNC210" s="46"/>
      <c r="HND210" s="46"/>
      <c r="HNE210" s="46"/>
      <c r="HNF210" s="46"/>
      <c r="HNG210" s="46"/>
      <c r="HNH210" s="46"/>
      <c r="HNI210" s="46"/>
      <c r="HNJ210" s="46"/>
      <c r="HNK210" s="46"/>
      <c r="HNL210" s="46"/>
      <c r="HNM210" s="46"/>
      <c r="HNN210" s="46"/>
      <c r="HNO210" s="46"/>
      <c r="HNP210" s="46"/>
      <c r="HNQ210" s="46"/>
      <c r="HNR210" s="46"/>
      <c r="HNS210" s="46"/>
      <c r="HNT210" s="46"/>
      <c r="HNU210" s="46"/>
      <c r="HNV210" s="46"/>
      <c r="HNW210" s="46"/>
      <c r="HNX210" s="46"/>
      <c r="HNY210" s="46"/>
      <c r="HNZ210" s="46"/>
      <c r="HOA210" s="46"/>
      <c r="HOB210" s="46"/>
      <c r="HOC210" s="46"/>
      <c r="HOD210" s="46"/>
      <c r="HOE210" s="46"/>
      <c r="HOF210" s="46"/>
      <c r="HOG210" s="46"/>
      <c r="HOH210" s="46"/>
      <c r="HOI210" s="46"/>
      <c r="HOJ210" s="46"/>
      <c r="HOK210" s="46"/>
      <c r="HOL210" s="46"/>
      <c r="HOM210" s="46"/>
      <c r="HON210" s="46"/>
      <c r="HOO210" s="46"/>
      <c r="HOP210" s="46"/>
      <c r="HOQ210" s="46"/>
      <c r="HOR210" s="46"/>
      <c r="HOS210" s="46"/>
      <c r="HOT210" s="46"/>
      <c r="HOU210" s="46"/>
      <c r="HOV210" s="46"/>
      <c r="HOW210" s="46"/>
      <c r="HOX210" s="46"/>
      <c r="HOY210" s="46"/>
      <c r="HOZ210" s="46"/>
      <c r="HPA210" s="46"/>
      <c r="HPB210" s="46"/>
      <c r="HPC210" s="46"/>
      <c r="HPD210" s="46"/>
      <c r="HPE210" s="46"/>
      <c r="HPF210" s="46"/>
      <c r="HPG210" s="46"/>
      <c r="HPH210" s="46"/>
      <c r="HPI210" s="46"/>
      <c r="HPJ210" s="46"/>
      <c r="HPK210" s="46"/>
      <c r="HPL210" s="46"/>
      <c r="HPM210" s="46"/>
      <c r="HPN210" s="46"/>
      <c r="HPO210" s="46"/>
      <c r="HPP210" s="46"/>
      <c r="HPQ210" s="46"/>
      <c r="HPR210" s="46"/>
      <c r="HPS210" s="46"/>
      <c r="HPT210" s="46"/>
      <c r="HPU210" s="46"/>
      <c r="HPV210" s="46"/>
      <c r="HPW210" s="46"/>
      <c r="HPX210" s="46"/>
      <c r="HPY210" s="46"/>
      <c r="HPZ210" s="46"/>
      <c r="HQA210" s="46"/>
      <c r="HQB210" s="46"/>
      <c r="HQC210" s="46"/>
      <c r="HQD210" s="46"/>
      <c r="HQE210" s="46"/>
      <c r="HQF210" s="46"/>
      <c r="HQG210" s="46"/>
      <c r="HQH210" s="46"/>
      <c r="HQI210" s="46"/>
      <c r="HQJ210" s="46"/>
      <c r="HQK210" s="46"/>
      <c r="HQL210" s="46"/>
      <c r="HQM210" s="46"/>
      <c r="HQN210" s="46"/>
      <c r="HQO210" s="46"/>
      <c r="HQP210" s="46"/>
      <c r="HQQ210" s="46"/>
      <c r="HQR210" s="46"/>
      <c r="HQS210" s="46"/>
      <c r="HQT210" s="46"/>
      <c r="HQU210" s="46"/>
      <c r="HQV210" s="46"/>
      <c r="HQW210" s="46"/>
      <c r="HQX210" s="46"/>
      <c r="HQY210" s="46"/>
      <c r="HQZ210" s="46"/>
      <c r="HRA210" s="46"/>
      <c r="HRB210" s="46"/>
      <c r="HRC210" s="46"/>
      <c r="HRD210" s="46"/>
      <c r="HRE210" s="46"/>
      <c r="HRF210" s="46"/>
      <c r="HRG210" s="46"/>
      <c r="HRH210" s="46"/>
      <c r="HRI210" s="46"/>
      <c r="HRJ210" s="46"/>
      <c r="HRK210" s="46"/>
      <c r="HRL210" s="46"/>
      <c r="HRM210" s="46"/>
      <c r="HRN210" s="46"/>
      <c r="HRO210" s="46"/>
      <c r="HRP210" s="46"/>
      <c r="HRQ210" s="46"/>
      <c r="HRR210" s="46"/>
      <c r="HRS210" s="46"/>
      <c r="HRT210" s="46"/>
      <c r="HRU210" s="46"/>
      <c r="HRV210" s="46"/>
      <c r="HRW210" s="46"/>
      <c r="HRX210" s="46"/>
      <c r="HRY210" s="46"/>
      <c r="HRZ210" s="46"/>
      <c r="HSA210" s="46"/>
      <c r="HSB210" s="46"/>
      <c r="HSC210" s="46"/>
      <c r="HSD210" s="46"/>
      <c r="HSE210" s="46"/>
      <c r="HSF210" s="46"/>
      <c r="HSG210" s="46"/>
      <c r="HSH210" s="46"/>
      <c r="HSI210" s="46"/>
      <c r="HSJ210" s="46"/>
      <c r="HSK210" s="46"/>
      <c r="HSL210" s="46"/>
      <c r="HSM210" s="46"/>
      <c r="HSN210" s="46"/>
      <c r="HSO210" s="46"/>
      <c r="HSP210" s="46"/>
      <c r="HSQ210" s="46"/>
      <c r="HSR210" s="46"/>
      <c r="HSS210" s="46"/>
      <c r="HST210" s="46"/>
      <c r="HSU210" s="46"/>
      <c r="HSV210" s="46"/>
      <c r="HSW210" s="46"/>
      <c r="HSX210" s="46"/>
      <c r="HSY210" s="46"/>
      <c r="HSZ210" s="46"/>
      <c r="HTA210" s="46"/>
      <c r="HTB210" s="46"/>
      <c r="HTC210" s="46"/>
      <c r="HTD210" s="46"/>
      <c r="HTE210" s="46"/>
      <c r="HTF210" s="46"/>
      <c r="HTG210" s="46"/>
      <c r="HTH210" s="46"/>
      <c r="HTI210" s="46"/>
      <c r="HTJ210" s="46"/>
      <c r="HTK210" s="46"/>
      <c r="HTL210" s="46"/>
      <c r="HTM210" s="46"/>
      <c r="HTN210" s="46"/>
      <c r="HTO210" s="46"/>
      <c r="HTP210" s="46"/>
      <c r="HTQ210" s="46"/>
      <c r="HTR210" s="46"/>
      <c r="HTS210" s="46"/>
      <c r="HTT210" s="46"/>
      <c r="HTU210" s="46"/>
      <c r="HTV210" s="46"/>
      <c r="HTW210" s="46"/>
      <c r="HTX210" s="46"/>
      <c r="HTY210" s="46"/>
      <c r="HTZ210" s="46"/>
      <c r="HUA210" s="46"/>
      <c r="HUB210" s="46"/>
      <c r="HUC210" s="46"/>
      <c r="HUD210" s="46"/>
      <c r="HUE210" s="46"/>
      <c r="HUF210" s="46"/>
      <c r="HUG210" s="46"/>
      <c r="HUH210" s="46"/>
      <c r="HUI210" s="46"/>
      <c r="HUJ210" s="46"/>
      <c r="HUK210" s="46"/>
      <c r="HUL210" s="46"/>
      <c r="HUM210" s="46"/>
      <c r="HUN210" s="46"/>
      <c r="HUO210" s="46"/>
      <c r="HUP210" s="46"/>
      <c r="HUQ210" s="46"/>
      <c r="HUR210" s="46"/>
      <c r="HUS210" s="46"/>
      <c r="HUT210" s="46"/>
      <c r="HUU210" s="46"/>
      <c r="HUV210" s="46"/>
      <c r="HUW210" s="46"/>
      <c r="HUX210" s="46"/>
      <c r="HUY210" s="46"/>
      <c r="HUZ210" s="46"/>
      <c r="HVA210" s="46"/>
      <c r="HVB210" s="46"/>
      <c r="HVC210" s="46"/>
      <c r="HVD210" s="46"/>
      <c r="HVE210" s="46"/>
      <c r="HVF210" s="46"/>
      <c r="HVG210" s="46"/>
      <c r="HVH210" s="46"/>
      <c r="HVI210" s="46"/>
      <c r="HVJ210" s="46"/>
      <c r="HVK210" s="46"/>
      <c r="HVL210" s="46"/>
      <c r="HVM210" s="46"/>
      <c r="HVN210" s="46"/>
      <c r="HVO210" s="46"/>
      <c r="HVP210" s="46"/>
      <c r="HVQ210" s="46"/>
      <c r="HVR210" s="46"/>
      <c r="HVS210" s="46"/>
      <c r="HVT210" s="46"/>
      <c r="HVU210" s="46"/>
      <c r="HVV210" s="46"/>
      <c r="HVW210" s="46"/>
      <c r="HVX210" s="46"/>
      <c r="HVY210" s="46"/>
      <c r="HVZ210" s="46"/>
      <c r="HWA210" s="46"/>
      <c r="HWB210" s="46"/>
      <c r="HWC210" s="46"/>
      <c r="HWD210" s="46"/>
      <c r="HWE210" s="46"/>
      <c r="HWF210" s="46"/>
      <c r="HWG210" s="46"/>
      <c r="HWH210" s="46"/>
      <c r="HWI210" s="46"/>
      <c r="HWJ210" s="46"/>
      <c r="HWK210" s="46"/>
      <c r="HWL210" s="46"/>
      <c r="HWM210" s="46"/>
      <c r="HWN210" s="46"/>
      <c r="HWO210" s="46"/>
      <c r="HWP210" s="46"/>
      <c r="HWQ210" s="46"/>
      <c r="HWR210" s="46"/>
      <c r="HWS210" s="46"/>
      <c r="HWT210" s="46"/>
      <c r="HWU210" s="46"/>
      <c r="HWV210" s="46"/>
      <c r="HWW210" s="46"/>
      <c r="HWX210" s="46"/>
      <c r="HWY210" s="46"/>
      <c r="HWZ210" s="46"/>
      <c r="HXA210" s="46"/>
      <c r="HXB210" s="46"/>
      <c r="HXC210" s="46"/>
      <c r="HXD210" s="46"/>
      <c r="HXE210" s="46"/>
      <c r="HXF210" s="46"/>
      <c r="HXG210" s="46"/>
      <c r="HXH210" s="46"/>
      <c r="HXI210" s="46"/>
      <c r="HXJ210" s="46"/>
      <c r="HXK210" s="46"/>
      <c r="HXL210" s="46"/>
      <c r="HXM210" s="46"/>
      <c r="HXN210" s="46"/>
      <c r="HXO210" s="46"/>
      <c r="HXP210" s="46"/>
      <c r="HXQ210" s="46"/>
      <c r="HXR210" s="46"/>
      <c r="HXS210" s="46"/>
      <c r="HXT210" s="46"/>
      <c r="HXU210" s="46"/>
      <c r="HXV210" s="46"/>
      <c r="HXW210" s="46"/>
      <c r="HXX210" s="46"/>
      <c r="HXY210" s="46"/>
      <c r="HXZ210" s="46"/>
      <c r="HYA210" s="46"/>
      <c r="HYB210" s="46"/>
      <c r="HYC210" s="46"/>
      <c r="HYD210" s="46"/>
      <c r="HYE210" s="46"/>
      <c r="HYF210" s="46"/>
      <c r="HYG210" s="46"/>
      <c r="HYH210" s="46"/>
      <c r="HYI210" s="46"/>
      <c r="HYJ210" s="46"/>
      <c r="HYK210" s="46"/>
      <c r="HYL210" s="46"/>
      <c r="HYM210" s="46"/>
      <c r="HYN210" s="46"/>
      <c r="HYO210" s="46"/>
      <c r="HYP210" s="46"/>
      <c r="HYQ210" s="46"/>
      <c r="HYR210" s="46"/>
      <c r="HYS210" s="46"/>
      <c r="HYT210" s="46"/>
      <c r="HYU210" s="46"/>
      <c r="HYV210" s="46"/>
      <c r="HYW210" s="46"/>
      <c r="HYX210" s="46"/>
      <c r="HYY210" s="46"/>
      <c r="HYZ210" s="46"/>
      <c r="HZA210" s="46"/>
      <c r="HZB210" s="46"/>
      <c r="HZC210" s="46"/>
      <c r="HZD210" s="46"/>
      <c r="HZE210" s="46"/>
      <c r="HZF210" s="46"/>
      <c r="HZG210" s="46"/>
      <c r="HZH210" s="46"/>
      <c r="HZI210" s="46"/>
      <c r="HZJ210" s="46"/>
      <c r="HZK210" s="46"/>
      <c r="HZL210" s="46"/>
      <c r="HZM210" s="46"/>
      <c r="HZN210" s="46"/>
      <c r="HZO210" s="46"/>
      <c r="HZP210" s="46"/>
      <c r="HZQ210" s="46"/>
      <c r="HZR210" s="46"/>
      <c r="HZS210" s="46"/>
      <c r="HZT210" s="46"/>
      <c r="HZU210" s="46"/>
      <c r="HZV210" s="46"/>
      <c r="HZW210" s="46"/>
      <c r="HZX210" s="46"/>
      <c r="HZY210" s="46"/>
      <c r="HZZ210" s="46"/>
      <c r="IAA210" s="46"/>
      <c r="IAB210" s="46"/>
      <c r="IAC210" s="46"/>
      <c r="IAD210" s="46"/>
      <c r="IAE210" s="46"/>
      <c r="IAF210" s="46"/>
      <c r="IAG210" s="46"/>
      <c r="IAH210" s="46"/>
      <c r="IAI210" s="46"/>
      <c r="IAJ210" s="46"/>
      <c r="IAK210" s="46"/>
      <c r="IAL210" s="46"/>
      <c r="IAM210" s="46"/>
      <c r="IAN210" s="46"/>
      <c r="IAO210" s="46"/>
      <c r="IAP210" s="46"/>
      <c r="IAQ210" s="46"/>
      <c r="IAR210" s="46"/>
      <c r="IAS210" s="46"/>
      <c r="IAT210" s="46"/>
      <c r="IAU210" s="46"/>
      <c r="IAV210" s="46"/>
      <c r="IAW210" s="46"/>
      <c r="IAX210" s="46"/>
      <c r="IAY210" s="46"/>
      <c r="IAZ210" s="46"/>
      <c r="IBA210" s="46"/>
      <c r="IBB210" s="46"/>
      <c r="IBC210" s="46"/>
      <c r="IBD210" s="46"/>
      <c r="IBE210" s="46"/>
      <c r="IBF210" s="46"/>
      <c r="IBG210" s="46"/>
      <c r="IBH210" s="46"/>
      <c r="IBI210" s="46"/>
      <c r="IBJ210" s="46"/>
      <c r="IBK210" s="46"/>
      <c r="IBL210" s="46"/>
      <c r="IBM210" s="46"/>
      <c r="IBN210" s="46"/>
      <c r="IBO210" s="46"/>
      <c r="IBP210" s="46"/>
      <c r="IBQ210" s="46"/>
      <c r="IBR210" s="46"/>
      <c r="IBS210" s="46"/>
      <c r="IBT210" s="46"/>
      <c r="IBU210" s="46"/>
      <c r="IBV210" s="46"/>
      <c r="IBW210" s="46"/>
      <c r="IBX210" s="46"/>
      <c r="IBY210" s="46"/>
      <c r="IBZ210" s="46"/>
      <c r="ICA210" s="46"/>
      <c r="ICB210" s="46"/>
      <c r="ICC210" s="46"/>
      <c r="ICD210" s="46"/>
      <c r="ICE210" s="46"/>
      <c r="ICF210" s="46"/>
      <c r="ICG210" s="46"/>
      <c r="ICH210" s="46"/>
      <c r="ICI210" s="46"/>
      <c r="ICJ210" s="46"/>
      <c r="ICK210" s="46"/>
      <c r="ICL210" s="46"/>
      <c r="ICM210" s="46"/>
      <c r="ICN210" s="46"/>
      <c r="ICO210" s="46"/>
      <c r="ICP210" s="46"/>
      <c r="ICQ210" s="46"/>
      <c r="ICR210" s="46"/>
      <c r="ICS210" s="46"/>
      <c r="ICT210" s="46"/>
      <c r="ICU210" s="46"/>
      <c r="ICV210" s="46"/>
      <c r="ICW210" s="46"/>
      <c r="ICX210" s="46"/>
      <c r="ICY210" s="46"/>
      <c r="ICZ210" s="46"/>
      <c r="IDA210" s="46"/>
      <c r="IDB210" s="46"/>
      <c r="IDC210" s="46"/>
      <c r="IDD210" s="46"/>
      <c r="IDE210" s="46"/>
      <c r="IDF210" s="46"/>
      <c r="IDG210" s="46"/>
      <c r="IDH210" s="46"/>
      <c r="IDI210" s="46"/>
      <c r="IDJ210" s="46"/>
      <c r="IDK210" s="46"/>
      <c r="IDL210" s="46"/>
      <c r="IDM210" s="46"/>
      <c r="IDN210" s="46"/>
      <c r="IDO210" s="46"/>
      <c r="IDP210" s="46"/>
      <c r="IDQ210" s="46"/>
      <c r="IDR210" s="46"/>
      <c r="IDS210" s="46"/>
      <c r="IDT210" s="46"/>
      <c r="IDU210" s="46"/>
      <c r="IDV210" s="46"/>
      <c r="IDW210" s="46"/>
      <c r="IDX210" s="46"/>
      <c r="IDY210" s="46"/>
      <c r="IDZ210" s="46"/>
      <c r="IEA210" s="46"/>
      <c r="IEB210" s="46"/>
      <c r="IEC210" s="46"/>
      <c r="IED210" s="46"/>
      <c r="IEE210" s="46"/>
      <c r="IEF210" s="46"/>
      <c r="IEG210" s="46"/>
      <c r="IEH210" s="46"/>
      <c r="IEI210" s="46"/>
      <c r="IEJ210" s="46"/>
      <c r="IEK210" s="46"/>
      <c r="IEL210" s="46"/>
      <c r="IEM210" s="46"/>
      <c r="IEN210" s="46"/>
      <c r="IEO210" s="46"/>
      <c r="IEP210" s="46"/>
      <c r="IEQ210" s="46"/>
      <c r="IER210" s="46"/>
      <c r="IES210" s="46"/>
      <c r="IET210" s="46"/>
      <c r="IEU210" s="46"/>
      <c r="IEV210" s="46"/>
      <c r="IEW210" s="46"/>
      <c r="IEX210" s="46"/>
      <c r="IEY210" s="46"/>
      <c r="IEZ210" s="46"/>
      <c r="IFA210" s="46"/>
      <c r="IFB210" s="46"/>
      <c r="IFC210" s="46"/>
      <c r="IFD210" s="46"/>
      <c r="IFE210" s="46"/>
      <c r="IFF210" s="46"/>
      <c r="IFG210" s="46"/>
      <c r="IFH210" s="46"/>
      <c r="IFI210" s="46"/>
      <c r="IFJ210" s="46"/>
      <c r="IFK210" s="46"/>
      <c r="IFL210" s="46"/>
      <c r="IFM210" s="46"/>
      <c r="IFN210" s="46"/>
      <c r="IFO210" s="46"/>
      <c r="IFP210" s="46"/>
      <c r="IFQ210" s="46"/>
      <c r="IFR210" s="46"/>
      <c r="IFS210" s="46"/>
      <c r="IFT210" s="46"/>
      <c r="IFU210" s="46"/>
      <c r="IFV210" s="46"/>
      <c r="IFW210" s="46"/>
      <c r="IFX210" s="46"/>
      <c r="IFY210" s="46"/>
      <c r="IFZ210" s="46"/>
      <c r="IGA210" s="46"/>
      <c r="IGB210" s="46"/>
      <c r="IGC210" s="46"/>
      <c r="IGD210" s="46"/>
      <c r="IGE210" s="46"/>
      <c r="IGF210" s="46"/>
      <c r="IGG210" s="46"/>
      <c r="IGH210" s="46"/>
      <c r="IGI210" s="46"/>
      <c r="IGJ210" s="46"/>
      <c r="IGK210" s="46"/>
      <c r="IGL210" s="46"/>
      <c r="IGM210" s="46"/>
      <c r="IGN210" s="46"/>
      <c r="IGO210" s="46"/>
      <c r="IGP210" s="46"/>
      <c r="IGQ210" s="46"/>
      <c r="IGR210" s="46"/>
      <c r="IGS210" s="46"/>
      <c r="IGT210" s="46"/>
      <c r="IGU210" s="46"/>
      <c r="IGV210" s="46"/>
      <c r="IGW210" s="46"/>
      <c r="IGX210" s="46"/>
      <c r="IGY210" s="46"/>
      <c r="IGZ210" s="46"/>
      <c r="IHA210" s="46"/>
      <c r="IHB210" s="46"/>
      <c r="IHC210" s="46"/>
      <c r="IHD210" s="46"/>
      <c r="IHE210" s="46"/>
      <c r="IHF210" s="46"/>
      <c r="IHG210" s="46"/>
      <c r="IHH210" s="46"/>
      <c r="IHI210" s="46"/>
      <c r="IHJ210" s="46"/>
      <c r="IHK210" s="46"/>
      <c r="IHL210" s="46"/>
      <c r="IHM210" s="46"/>
      <c r="IHN210" s="46"/>
      <c r="IHO210" s="46"/>
      <c r="IHP210" s="46"/>
      <c r="IHQ210" s="46"/>
      <c r="IHR210" s="46"/>
      <c r="IHS210" s="46"/>
      <c r="IHT210" s="46"/>
      <c r="IHU210" s="46"/>
      <c r="IHV210" s="46"/>
      <c r="IHW210" s="46"/>
      <c r="IHX210" s="46"/>
      <c r="IHY210" s="46"/>
      <c r="IHZ210" s="46"/>
      <c r="IIA210" s="46"/>
      <c r="IIB210" s="46"/>
      <c r="IIC210" s="46"/>
      <c r="IID210" s="46"/>
      <c r="IIE210" s="46"/>
      <c r="IIF210" s="46"/>
      <c r="IIG210" s="46"/>
      <c r="IIH210" s="46"/>
      <c r="III210" s="46"/>
      <c r="IIJ210" s="46"/>
      <c r="IIK210" s="46"/>
      <c r="IIL210" s="46"/>
      <c r="IIM210" s="46"/>
      <c r="IIN210" s="46"/>
      <c r="IIO210" s="46"/>
      <c r="IIP210" s="46"/>
      <c r="IIQ210" s="46"/>
      <c r="IIR210" s="46"/>
      <c r="IIS210" s="46"/>
      <c r="IIT210" s="46"/>
      <c r="IIU210" s="46"/>
      <c r="IIV210" s="46"/>
      <c r="IIW210" s="46"/>
      <c r="IIX210" s="46"/>
      <c r="IIY210" s="46"/>
      <c r="IIZ210" s="46"/>
      <c r="IJA210" s="46"/>
      <c r="IJB210" s="46"/>
      <c r="IJC210" s="46"/>
      <c r="IJD210" s="46"/>
      <c r="IJE210" s="46"/>
      <c r="IJF210" s="46"/>
      <c r="IJG210" s="46"/>
      <c r="IJH210" s="46"/>
      <c r="IJI210" s="46"/>
      <c r="IJJ210" s="46"/>
      <c r="IJK210" s="46"/>
      <c r="IJL210" s="46"/>
      <c r="IJM210" s="46"/>
      <c r="IJN210" s="46"/>
      <c r="IJO210" s="46"/>
      <c r="IJP210" s="46"/>
      <c r="IJQ210" s="46"/>
      <c r="IJR210" s="46"/>
      <c r="IJS210" s="46"/>
      <c r="IJT210" s="46"/>
      <c r="IJU210" s="46"/>
      <c r="IJV210" s="46"/>
      <c r="IJW210" s="46"/>
      <c r="IJX210" s="46"/>
      <c r="IJY210" s="46"/>
      <c r="IJZ210" s="46"/>
      <c r="IKA210" s="46"/>
      <c r="IKB210" s="46"/>
      <c r="IKC210" s="46"/>
      <c r="IKD210" s="46"/>
      <c r="IKE210" s="46"/>
      <c r="IKF210" s="46"/>
      <c r="IKG210" s="46"/>
      <c r="IKH210" s="46"/>
      <c r="IKI210" s="46"/>
      <c r="IKJ210" s="46"/>
      <c r="IKK210" s="46"/>
      <c r="IKL210" s="46"/>
      <c r="IKM210" s="46"/>
      <c r="IKN210" s="46"/>
      <c r="IKO210" s="46"/>
      <c r="IKP210" s="46"/>
      <c r="IKQ210" s="46"/>
      <c r="IKR210" s="46"/>
      <c r="IKS210" s="46"/>
      <c r="IKT210" s="46"/>
      <c r="IKU210" s="46"/>
      <c r="IKV210" s="46"/>
      <c r="IKW210" s="46"/>
      <c r="IKX210" s="46"/>
      <c r="IKY210" s="46"/>
      <c r="IKZ210" s="46"/>
      <c r="ILA210" s="46"/>
      <c r="ILB210" s="46"/>
      <c r="ILC210" s="46"/>
      <c r="ILD210" s="46"/>
      <c r="ILE210" s="46"/>
      <c r="ILF210" s="46"/>
      <c r="ILG210" s="46"/>
      <c r="ILH210" s="46"/>
      <c r="ILI210" s="46"/>
      <c r="ILJ210" s="46"/>
      <c r="ILK210" s="46"/>
      <c r="ILL210" s="46"/>
      <c r="ILM210" s="46"/>
      <c r="ILN210" s="46"/>
      <c r="ILO210" s="46"/>
      <c r="ILP210" s="46"/>
      <c r="ILQ210" s="46"/>
      <c r="ILR210" s="46"/>
      <c r="ILS210" s="46"/>
      <c r="ILT210" s="46"/>
      <c r="ILU210" s="46"/>
      <c r="ILV210" s="46"/>
      <c r="ILW210" s="46"/>
      <c r="ILX210" s="46"/>
      <c r="ILY210" s="46"/>
      <c r="ILZ210" s="46"/>
      <c r="IMA210" s="46"/>
      <c r="IMB210" s="46"/>
      <c r="IMC210" s="46"/>
      <c r="IMD210" s="46"/>
      <c r="IME210" s="46"/>
      <c r="IMF210" s="46"/>
      <c r="IMG210" s="46"/>
      <c r="IMH210" s="46"/>
      <c r="IMI210" s="46"/>
      <c r="IMJ210" s="46"/>
      <c r="IMK210" s="46"/>
      <c r="IML210" s="46"/>
      <c r="IMM210" s="46"/>
      <c r="IMN210" s="46"/>
      <c r="IMO210" s="46"/>
      <c r="IMP210" s="46"/>
      <c r="IMQ210" s="46"/>
      <c r="IMR210" s="46"/>
      <c r="IMS210" s="46"/>
      <c r="IMT210" s="46"/>
      <c r="IMU210" s="46"/>
      <c r="IMV210" s="46"/>
      <c r="IMW210" s="46"/>
      <c r="IMX210" s="46"/>
      <c r="IMY210" s="46"/>
      <c r="IMZ210" s="46"/>
      <c r="INA210" s="46"/>
      <c r="INB210" s="46"/>
      <c r="INC210" s="46"/>
      <c r="IND210" s="46"/>
      <c r="INE210" s="46"/>
      <c r="INF210" s="46"/>
      <c r="ING210" s="46"/>
      <c r="INH210" s="46"/>
      <c r="INI210" s="46"/>
      <c r="INJ210" s="46"/>
      <c r="INK210" s="46"/>
      <c r="INL210" s="46"/>
      <c r="INM210" s="46"/>
      <c r="INN210" s="46"/>
      <c r="INO210" s="46"/>
      <c r="INP210" s="46"/>
      <c r="INQ210" s="46"/>
      <c r="INR210" s="46"/>
      <c r="INS210" s="46"/>
      <c r="INT210" s="46"/>
      <c r="INU210" s="46"/>
      <c r="INV210" s="46"/>
      <c r="INW210" s="46"/>
      <c r="INX210" s="46"/>
      <c r="INY210" s="46"/>
      <c r="INZ210" s="46"/>
      <c r="IOA210" s="46"/>
      <c r="IOB210" s="46"/>
      <c r="IOC210" s="46"/>
      <c r="IOD210" s="46"/>
      <c r="IOE210" s="46"/>
      <c r="IOF210" s="46"/>
      <c r="IOG210" s="46"/>
      <c r="IOH210" s="46"/>
      <c r="IOI210" s="46"/>
      <c r="IOJ210" s="46"/>
      <c r="IOK210" s="46"/>
      <c r="IOL210" s="46"/>
      <c r="IOM210" s="46"/>
      <c r="ION210" s="46"/>
      <c r="IOO210" s="46"/>
      <c r="IOP210" s="46"/>
      <c r="IOQ210" s="46"/>
      <c r="IOR210" s="46"/>
      <c r="IOS210" s="46"/>
      <c r="IOT210" s="46"/>
      <c r="IOU210" s="46"/>
      <c r="IOV210" s="46"/>
      <c r="IOW210" s="46"/>
      <c r="IOX210" s="46"/>
      <c r="IOY210" s="46"/>
      <c r="IOZ210" s="46"/>
      <c r="IPA210" s="46"/>
      <c r="IPB210" s="46"/>
      <c r="IPC210" s="46"/>
      <c r="IPD210" s="46"/>
      <c r="IPE210" s="46"/>
      <c r="IPF210" s="46"/>
      <c r="IPG210" s="46"/>
      <c r="IPH210" s="46"/>
      <c r="IPI210" s="46"/>
      <c r="IPJ210" s="46"/>
      <c r="IPK210" s="46"/>
      <c r="IPL210" s="46"/>
      <c r="IPM210" s="46"/>
      <c r="IPN210" s="46"/>
      <c r="IPO210" s="46"/>
      <c r="IPP210" s="46"/>
      <c r="IPQ210" s="46"/>
      <c r="IPR210" s="46"/>
      <c r="IPS210" s="46"/>
      <c r="IPT210" s="46"/>
      <c r="IPU210" s="46"/>
      <c r="IPV210" s="46"/>
      <c r="IPW210" s="46"/>
      <c r="IPX210" s="46"/>
      <c r="IPY210" s="46"/>
      <c r="IPZ210" s="46"/>
      <c r="IQA210" s="46"/>
      <c r="IQB210" s="46"/>
      <c r="IQC210" s="46"/>
      <c r="IQD210" s="46"/>
      <c r="IQE210" s="46"/>
      <c r="IQF210" s="46"/>
      <c r="IQG210" s="46"/>
      <c r="IQH210" s="46"/>
      <c r="IQI210" s="46"/>
      <c r="IQJ210" s="46"/>
      <c r="IQK210" s="46"/>
      <c r="IQL210" s="46"/>
      <c r="IQM210" s="46"/>
      <c r="IQN210" s="46"/>
      <c r="IQO210" s="46"/>
      <c r="IQP210" s="46"/>
      <c r="IQQ210" s="46"/>
      <c r="IQR210" s="46"/>
      <c r="IQS210" s="46"/>
      <c r="IQT210" s="46"/>
      <c r="IQU210" s="46"/>
      <c r="IQV210" s="46"/>
      <c r="IQW210" s="46"/>
      <c r="IQX210" s="46"/>
      <c r="IQY210" s="46"/>
      <c r="IQZ210" s="46"/>
      <c r="IRA210" s="46"/>
      <c r="IRB210" s="46"/>
      <c r="IRC210" s="46"/>
      <c r="IRD210" s="46"/>
      <c r="IRE210" s="46"/>
      <c r="IRF210" s="46"/>
      <c r="IRG210" s="46"/>
      <c r="IRH210" s="46"/>
      <c r="IRI210" s="46"/>
      <c r="IRJ210" s="46"/>
      <c r="IRK210" s="46"/>
      <c r="IRL210" s="46"/>
      <c r="IRM210" s="46"/>
      <c r="IRN210" s="46"/>
      <c r="IRO210" s="46"/>
      <c r="IRP210" s="46"/>
      <c r="IRQ210" s="46"/>
      <c r="IRR210" s="46"/>
      <c r="IRS210" s="46"/>
      <c r="IRT210" s="46"/>
      <c r="IRU210" s="46"/>
      <c r="IRV210" s="46"/>
      <c r="IRW210" s="46"/>
      <c r="IRX210" s="46"/>
      <c r="IRY210" s="46"/>
      <c r="IRZ210" s="46"/>
      <c r="ISA210" s="46"/>
      <c r="ISB210" s="46"/>
      <c r="ISC210" s="46"/>
      <c r="ISD210" s="46"/>
      <c r="ISE210" s="46"/>
      <c r="ISF210" s="46"/>
      <c r="ISG210" s="46"/>
      <c r="ISH210" s="46"/>
      <c r="ISI210" s="46"/>
      <c r="ISJ210" s="46"/>
      <c r="ISK210" s="46"/>
      <c r="ISL210" s="46"/>
      <c r="ISM210" s="46"/>
      <c r="ISN210" s="46"/>
      <c r="ISO210" s="46"/>
      <c r="ISP210" s="46"/>
      <c r="ISQ210" s="46"/>
      <c r="ISR210" s="46"/>
      <c r="ISS210" s="46"/>
      <c r="IST210" s="46"/>
      <c r="ISU210" s="46"/>
      <c r="ISV210" s="46"/>
      <c r="ISW210" s="46"/>
      <c r="ISX210" s="46"/>
      <c r="ISY210" s="46"/>
      <c r="ISZ210" s="46"/>
      <c r="ITA210" s="46"/>
      <c r="ITB210" s="46"/>
      <c r="ITC210" s="46"/>
      <c r="ITD210" s="46"/>
      <c r="ITE210" s="46"/>
      <c r="ITF210" s="46"/>
      <c r="ITG210" s="46"/>
      <c r="ITH210" s="46"/>
      <c r="ITI210" s="46"/>
      <c r="ITJ210" s="46"/>
      <c r="ITK210" s="46"/>
      <c r="ITL210" s="46"/>
      <c r="ITM210" s="46"/>
      <c r="ITN210" s="46"/>
      <c r="ITO210" s="46"/>
      <c r="ITP210" s="46"/>
      <c r="ITQ210" s="46"/>
      <c r="ITR210" s="46"/>
      <c r="ITS210" s="46"/>
      <c r="ITT210" s="46"/>
      <c r="ITU210" s="46"/>
      <c r="ITV210" s="46"/>
      <c r="ITW210" s="46"/>
      <c r="ITX210" s="46"/>
      <c r="ITY210" s="46"/>
      <c r="ITZ210" s="46"/>
      <c r="IUA210" s="46"/>
      <c r="IUB210" s="46"/>
      <c r="IUC210" s="46"/>
      <c r="IUD210" s="46"/>
      <c r="IUE210" s="46"/>
      <c r="IUF210" s="46"/>
      <c r="IUG210" s="46"/>
      <c r="IUH210" s="46"/>
      <c r="IUI210" s="46"/>
      <c r="IUJ210" s="46"/>
      <c r="IUK210" s="46"/>
      <c r="IUL210" s="46"/>
      <c r="IUM210" s="46"/>
      <c r="IUN210" s="46"/>
      <c r="IUO210" s="46"/>
      <c r="IUP210" s="46"/>
      <c r="IUQ210" s="46"/>
      <c r="IUR210" s="46"/>
      <c r="IUS210" s="46"/>
      <c r="IUT210" s="46"/>
      <c r="IUU210" s="46"/>
      <c r="IUV210" s="46"/>
      <c r="IUW210" s="46"/>
      <c r="IUX210" s="46"/>
      <c r="IUY210" s="46"/>
      <c r="IUZ210" s="46"/>
      <c r="IVA210" s="46"/>
      <c r="IVB210" s="46"/>
      <c r="IVC210" s="46"/>
      <c r="IVD210" s="46"/>
      <c r="IVE210" s="46"/>
      <c r="IVF210" s="46"/>
      <c r="IVG210" s="46"/>
      <c r="IVH210" s="46"/>
      <c r="IVI210" s="46"/>
      <c r="IVJ210" s="46"/>
      <c r="IVK210" s="46"/>
      <c r="IVL210" s="46"/>
      <c r="IVM210" s="46"/>
      <c r="IVN210" s="46"/>
      <c r="IVO210" s="46"/>
      <c r="IVP210" s="46"/>
      <c r="IVQ210" s="46"/>
      <c r="IVR210" s="46"/>
      <c r="IVS210" s="46"/>
      <c r="IVT210" s="46"/>
      <c r="IVU210" s="46"/>
      <c r="IVV210" s="46"/>
      <c r="IVW210" s="46"/>
      <c r="IVX210" s="46"/>
      <c r="IVY210" s="46"/>
      <c r="IVZ210" s="46"/>
      <c r="IWA210" s="46"/>
      <c r="IWB210" s="46"/>
      <c r="IWC210" s="46"/>
      <c r="IWD210" s="46"/>
      <c r="IWE210" s="46"/>
      <c r="IWF210" s="46"/>
      <c r="IWG210" s="46"/>
      <c r="IWH210" s="46"/>
      <c r="IWI210" s="46"/>
      <c r="IWJ210" s="46"/>
      <c r="IWK210" s="46"/>
      <c r="IWL210" s="46"/>
      <c r="IWM210" s="46"/>
      <c r="IWN210" s="46"/>
      <c r="IWO210" s="46"/>
      <c r="IWP210" s="46"/>
      <c r="IWQ210" s="46"/>
      <c r="IWR210" s="46"/>
      <c r="IWS210" s="46"/>
      <c r="IWT210" s="46"/>
      <c r="IWU210" s="46"/>
      <c r="IWV210" s="46"/>
      <c r="IWW210" s="46"/>
      <c r="IWX210" s="46"/>
      <c r="IWY210" s="46"/>
      <c r="IWZ210" s="46"/>
      <c r="IXA210" s="46"/>
      <c r="IXB210" s="46"/>
      <c r="IXC210" s="46"/>
      <c r="IXD210" s="46"/>
      <c r="IXE210" s="46"/>
      <c r="IXF210" s="46"/>
      <c r="IXG210" s="46"/>
      <c r="IXH210" s="46"/>
      <c r="IXI210" s="46"/>
      <c r="IXJ210" s="46"/>
      <c r="IXK210" s="46"/>
      <c r="IXL210" s="46"/>
      <c r="IXM210" s="46"/>
      <c r="IXN210" s="46"/>
      <c r="IXO210" s="46"/>
      <c r="IXP210" s="46"/>
      <c r="IXQ210" s="46"/>
      <c r="IXR210" s="46"/>
      <c r="IXS210" s="46"/>
      <c r="IXT210" s="46"/>
      <c r="IXU210" s="46"/>
      <c r="IXV210" s="46"/>
      <c r="IXW210" s="46"/>
      <c r="IXX210" s="46"/>
      <c r="IXY210" s="46"/>
      <c r="IXZ210" s="46"/>
      <c r="IYA210" s="46"/>
      <c r="IYB210" s="46"/>
      <c r="IYC210" s="46"/>
      <c r="IYD210" s="46"/>
      <c r="IYE210" s="46"/>
      <c r="IYF210" s="46"/>
      <c r="IYG210" s="46"/>
      <c r="IYH210" s="46"/>
      <c r="IYI210" s="46"/>
      <c r="IYJ210" s="46"/>
      <c r="IYK210" s="46"/>
      <c r="IYL210" s="46"/>
      <c r="IYM210" s="46"/>
      <c r="IYN210" s="46"/>
      <c r="IYO210" s="46"/>
      <c r="IYP210" s="46"/>
      <c r="IYQ210" s="46"/>
      <c r="IYR210" s="46"/>
      <c r="IYS210" s="46"/>
      <c r="IYT210" s="46"/>
      <c r="IYU210" s="46"/>
      <c r="IYV210" s="46"/>
      <c r="IYW210" s="46"/>
      <c r="IYX210" s="46"/>
      <c r="IYY210" s="46"/>
      <c r="IYZ210" s="46"/>
      <c r="IZA210" s="46"/>
      <c r="IZB210" s="46"/>
      <c r="IZC210" s="46"/>
      <c r="IZD210" s="46"/>
      <c r="IZE210" s="46"/>
      <c r="IZF210" s="46"/>
      <c r="IZG210" s="46"/>
      <c r="IZH210" s="46"/>
      <c r="IZI210" s="46"/>
      <c r="IZJ210" s="46"/>
      <c r="IZK210" s="46"/>
      <c r="IZL210" s="46"/>
      <c r="IZM210" s="46"/>
      <c r="IZN210" s="46"/>
      <c r="IZO210" s="46"/>
      <c r="IZP210" s="46"/>
      <c r="IZQ210" s="46"/>
      <c r="IZR210" s="46"/>
      <c r="IZS210" s="46"/>
      <c r="IZT210" s="46"/>
      <c r="IZU210" s="46"/>
      <c r="IZV210" s="46"/>
      <c r="IZW210" s="46"/>
      <c r="IZX210" s="46"/>
      <c r="IZY210" s="46"/>
      <c r="IZZ210" s="46"/>
      <c r="JAA210" s="46"/>
      <c r="JAB210" s="46"/>
      <c r="JAC210" s="46"/>
      <c r="JAD210" s="46"/>
      <c r="JAE210" s="46"/>
      <c r="JAF210" s="46"/>
      <c r="JAG210" s="46"/>
      <c r="JAH210" s="46"/>
      <c r="JAI210" s="46"/>
      <c r="JAJ210" s="46"/>
      <c r="JAK210" s="46"/>
      <c r="JAL210" s="46"/>
      <c r="JAM210" s="46"/>
      <c r="JAN210" s="46"/>
      <c r="JAO210" s="46"/>
      <c r="JAP210" s="46"/>
      <c r="JAQ210" s="46"/>
      <c r="JAR210" s="46"/>
      <c r="JAS210" s="46"/>
      <c r="JAT210" s="46"/>
      <c r="JAU210" s="46"/>
      <c r="JAV210" s="46"/>
      <c r="JAW210" s="46"/>
      <c r="JAX210" s="46"/>
      <c r="JAY210" s="46"/>
      <c r="JAZ210" s="46"/>
      <c r="JBA210" s="46"/>
      <c r="JBB210" s="46"/>
      <c r="JBC210" s="46"/>
      <c r="JBD210" s="46"/>
      <c r="JBE210" s="46"/>
      <c r="JBF210" s="46"/>
      <c r="JBG210" s="46"/>
      <c r="JBH210" s="46"/>
      <c r="JBI210" s="46"/>
      <c r="JBJ210" s="46"/>
      <c r="JBK210" s="46"/>
      <c r="JBL210" s="46"/>
      <c r="JBM210" s="46"/>
      <c r="JBN210" s="46"/>
      <c r="JBO210" s="46"/>
      <c r="JBP210" s="46"/>
      <c r="JBQ210" s="46"/>
      <c r="JBR210" s="46"/>
      <c r="JBS210" s="46"/>
      <c r="JBT210" s="46"/>
      <c r="JBU210" s="46"/>
      <c r="JBV210" s="46"/>
      <c r="JBW210" s="46"/>
      <c r="JBX210" s="46"/>
      <c r="JBY210" s="46"/>
      <c r="JBZ210" s="46"/>
      <c r="JCA210" s="46"/>
      <c r="JCB210" s="46"/>
      <c r="JCC210" s="46"/>
      <c r="JCD210" s="46"/>
      <c r="JCE210" s="46"/>
      <c r="JCF210" s="46"/>
      <c r="JCG210" s="46"/>
      <c r="JCH210" s="46"/>
      <c r="JCI210" s="46"/>
      <c r="JCJ210" s="46"/>
      <c r="JCK210" s="46"/>
      <c r="JCL210" s="46"/>
      <c r="JCM210" s="46"/>
      <c r="JCN210" s="46"/>
      <c r="JCO210" s="46"/>
      <c r="JCP210" s="46"/>
      <c r="JCQ210" s="46"/>
      <c r="JCR210" s="46"/>
      <c r="JCS210" s="46"/>
      <c r="JCT210" s="46"/>
      <c r="JCU210" s="46"/>
      <c r="JCV210" s="46"/>
      <c r="JCW210" s="46"/>
      <c r="JCX210" s="46"/>
      <c r="JCY210" s="46"/>
      <c r="JCZ210" s="46"/>
      <c r="JDA210" s="46"/>
      <c r="JDB210" s="46"/>
      <c r="JDC210" s="46"/>
      <c r="JDD210" s="46"/>
      <c r="JDE210" s="46"/>
      <c r="JDF210" s="46"/>
      <c r="JDG210" s="46"/>
      <c r="JDH210" s="46"/>
      <c r="JDI210" s="46"/>
      <c r="JDJ210" s="46"/>
      <c r="JDK210" s="46"/>
      <c r="JDL210" s="46"/>
      <c r="JDM210" s="46"/>
      <c r="JDN210" s="46"/>
      <c r="JDO210" s="46"/>
      <c r="JDP210" s="46"/>
      <c r="JDQ210" s="46"/>
      <c r="JDR210" s="46"/>
      <c r="JDS210" s="46"/>
      <c r="JDT210" s="46"/>
      <c r="JDU210" s="46"/>
      <c r="JDV210" s="46"/>
      <c r="JDW210" s="46"/>
      <c r="JDX210" s="46"/>
      <c r="JDY210" s="46"/>
      <c r="JDZ210" s="46"/>
      <c r="JEA210" s="46"/>
      <c r="JEB210" s="46"/>
      <c r="JEC210" s="46"/>
      <c r="JED210" s="46"/>
      <c r="JEE210" s="46"/>
      <c r="JEF210" s="46"/>
      <c r="JEG210" s="46"/>
      <c r="JEH210" s="46"/>
      <c r="JEI210" s="46"/>
      <c r="JEJ210" s="46"/>
      <c r="JEK210" s="46"/>
      <c r="JEL210" s="46"/>
      <c r="JEM210" s="46"/>
      <c r="JEN210" s="46"/>
      <c r="JEO210" s="46"/>
      <c r="JEP210" s="46"/>
      <c r="JEQ210" s="46"/>
      <c r="JER210" s="46"/>
      <c r="JES210" s="46"/>
      <c r="JET210" s="46"/>
      <c r="JEU210" s="46"/>
      <c r="JEV210" s="46"/>
      <c r="JEW210" s="46"/>
      <c r="JEX210" s="46"/>
      <c r="JEY210" s="46"/>
      <c r="JEZ210" s="46"/>
      <c r="JFA210" s="46"/>
      <c r="JFB210" s="46"/>
      <c r="JFC210" s="46"/>
      <c r="JFD210" s="46"/>
      <c r="JFE210" s="46"/>
      <c r="JFF210" s="46"/>
      <c r="JFG210" s="46"/>
      <c r="JFH210" s="46"/>
      <c r="JFI210" s="46"/>
      <c r="JFJ210" s="46"/>
      <c r="JFK210" s="46"/>
      <c r="JFL210" s="46"/>
      <c r="JFM210" s="46"/>
      <c r="JFN210" s="46"/>
      <c r="JFO210" s="46"/>
      <c r="JFP210" s="46"/>
      <c r="JFQ210" s="46"/>
      <c r="JFR210" s="46"/>
      <c r="JFS210" s="46"/>
      <c r="JFT210" s="46"/>
      <c r="JFU210" s="46"/>
      <c r="JFV210" s="46"/>
      <c r="JFW210" s="46"/>
      <c r="JFX210" s="46"/>
      <c r="JFY210" s="46"/>
      <c r="JFZ210" s="46"/>
      <c r="JGA210" s="46"/>
      <c r="JGB210" s="46"/>
      <c r="JGC210" s="46"/>
      <c r="JGD210" s="46"/>
      <c r="JGE210" s="46"/>
      <c r="JGF210" s="46"/>
      <c r="JGG210" s="46"/>
      <c r="JGH210" s="46"/>
      <c r="JGI210" s="46"/>
      <c r="JGJ210" s="46"/>
      <c r="JGK210" s="46"/>
      <c r="JGL210" s="46"/>
      <c r="JGM210" s="46"/>
      <c r="JGN210" s="46"/>
      <c r="JGO210" s="46"/>
      <c r="JGP210" s="46"/>
      <c r="JGQ210" s="46"/>
      <c r="JGR210" s="46"/>
      <c r="JGS210" s="46"/>
      <c r="JGT210" s="46"/>
      <c r="JGU210" s="46"/>
      <c r="JGV210" s="46"/>
      <c r="JGW210" s="46"/>
      <c r="JGX210" s="46"/>
      <c r="JGY210" s="46"/>
      <c r="JGZ210" s="46"/>
      <c r="JHA210" s="46"/>
      <c r="JHB210" s="46"/>
      <c r="JHC210" s="46"/>
      <c r="JHD210" s="46"/>
      <c r="JHE210" s="46"/>
      <c r="JHF210" s="46"/>
      <c r="JHG210" s="46"/>
      <c r="JHH210" s="46"/>
      <c r="JHI210" s="46"/>
      <c r="JHJ210" s="46"/>
      <c r="JHK210" s="46"/>
      <c r="JHL210" s="46"/>
      <c r="JHM210" s="46"/>
      <c r="JHN210" s="46"/>
      <c r="JHO210" s="46"/>
      <c r="JHP210" s="46"/>
      <c r="JHQ210" s="46"/>
      <c r="JHR210" s="46"/>
      <c r="JHS210" s="46"/>
      <c r="JHT210" s="46"/>
      <c r="JHU210" s="46"/>
      <c r="JHV210" s="46"/>
      <c r="JHW210" s="46"/>
      <c r="JHX210" s="46"/>
      <c r="JHY210" s="46"/>
      <c r="JHZ210" s="46"/>
      <c r="JIA210" s="46"/>
      <c r="JIB210" s="46"/>
      <c r="JIC210" s="46"/>
      <c r="JID210" s="46"/>
      <c r="JIE210" s="46"/>
      <c r="JIF210" s="46"/>
      <c r="JIG210" s="46"/>
      <c r="JIH210" s="46"/>
      <c r="JII210" s="46"/>
      <c r="JIJ210" s="46"/>
      <c r="JIK210" s="46"/>
      <c r="JIL210" s="46"/>
      <c r="JIM210" s="46"/>
      <c r="JIN210" s="46"/>
      <c r="JIO210" s="46"/>
      <c r="JIP210" s="46"/>
      <c r="JIQ210" s="46"/>
      <c r="JIR210" s="46"/>
      <c r="JIS210" s="46"/>
      <c r="JIT210" s="46"/>
      <c r="JIU210" s="46"/>
      <c r="JIV210" s="46"/>
      <c r="JIW210" s="46"/>
      <c r="JIX210" s="46"/>
      <c r="JIY210" s="46"/>
      <c r="JIZ210" s="46"/>
      <c r="JJA210" s="46"/>
      <c r="JJB210" s="46"/>
      <c r="JJC210" s="46"/>
      <c r="JJD210" s="46"/>
      <c r="JJE210" s="46"/>
      <c r="JJF210" s="46"/>
      <c r="JJG210" s="46"/>
      <c r="JJH210" s="46"/>
      <c r="JJI210" s="46"/>
      <c r="JJJ210" s="46"/>
      <c r="JJK210" s="46"/>
      <c r="JJL210" s="46"/>
      <c r="JJM210" s="46"/>
      <c r="JJN210" s="46"/>
      <c r="JJO210" s="46"/>
      <c r="JJP210" s="46"/>
      <c r="JJQ210" s="46"/>
      <c r="JJR210" s="46"/>
      <c r="JJS210" s="46"/>
      <c r="JJT210" s="46"/>
      <c r="JJU210" s="46"/>
      <c r="JJV210" s="46"/>
      <c r="JJW210" s="46"/>
      <c r="JJX210" s="46"/>
      <c r="JJY210" s="46"/>
      <c r="JJZ210" s="46"/>
      <c r="JKA210" s="46"/>
      <c r="JKB210" s="46"/>
      <c r="JKC210" s="46"/>
      <c r="JKD210" s="46"/>
      <c r="JKE210" s="46"/>
      <c r="JKF210" s="46"/>
      <c r="JKG210" s="46"/>
      <c r="JKH210" s="46"/>
      <c r="JKI210" s="46"/>
      <c r="JKJ210" s="46"/>
      <c r="JKK210" s="46"/>
      <c r="JKL210" s="46"/>
      <c r="JKM210" s="46"/>
      <c r="JKN210" s="46"/>
      <c r="JKO210" s="46"/>
      <c r="JKP210" s="46"/>
      <c r="JKQ210" s="46"/>
      <c r="JKR210" s="46"/>
      <c r="JKS210" s="46"/>
      <c r="JKT210" s="46"/>
      <c r="JKU210" s="46"/>
      <c r="JKV210" s="46"/>
      <c r="JKW210" s="46"/>
      <c r="JKX210" s="46"/>
      <c r="JKY210" s="46"/>
      <c r="JKZ210" s="46"/>
      <c r="JLA210" s="46"/>
      <c r="JLB210" s="46"/>
      <c r="JLC210" s="46"/>
      <c r="JLD210" s="46"/>
      <c r="JLE210" s="46"/>
      <c r="JLF210" s="46"/>
      <c r="JLG210" s="46"/>
      <c r="JLH210" s="46"/>
      <c r="JLI210" s="46"/>
      <c r="JLJ210" s="46"/>
      <c r="JLK210" s="46"/>
      <c r="JLL210" s="46"/>
      <c r="JLM210" s="46"/>
      <c r="JLN210" s="46"/>
      <c r="JLO210" s="46"/>
      <c r="JLP210" s="46"/>
      <c r="JLQ210" s="46"/>
      <c r="JLR210" s="46"/>
      <c r="JLS210" s="46"/>
      <c r="JLT210" s="46"/>
      <c r="JLU210" s="46"/>
      <c r="JLV210" s="46"/>
      <c r="JLW210" s="46"/>
      <c r="JLX210" s="46"/>
      <c r="JLY210" s="46"/>
      <c r="JLZ210" s="46"/>
      <c r="JMA210" s="46"/>
      <c r="JMB210" s="46"/>
      <c r="JMC210" s="46"/>
      <c r="JMD210" s="46"/>
      <c r="JME210" s="46"/>
      <c r="JMF210" s="46"/>
      <c r="JMG210" s="46"/>
      <c r="JMH210" s="46"/>
      <c r="JMI210" s="46"/>
      <c r="JMJ210" s="46"/>
      <c r="JMK210" s="46"/>
      <c r="JML210" s="46"/>
      <c r="JMM210" s="46"/>
      <c r="JMN210" s="46"/>
      <c r="JMO210" s="46"/>
      <c r="JMP210" s="46"/>
      <c r="JMQ210" s="46"/>
      <c r="JMR210" s="46"/>
      <c r="JMS210" s="46"/>
      <c r="JMT210" s="46"/>
      <c r="JMU210" s="46"/>
      <c r="JMV210" s="46"/>
      <c r="JMW210" s="46"/>
      <c r="JMX210" s="46"/>
      <c r="JMY210" s="46"/>
      <c r="JMZ210" s="46"/>
      <c r="JNA210" s="46"/>
      <c r="JNB210" s="46"/>
      <c r="JNC210" s="46"/>
      <c r="JND210" s="46"/>
      <c r="JNE210" s="46"/>
      <c r="JNF210" s="46"/>
      <c r="JNG210" s="46"/>
      <c r="JNH210" s="46"/>
      <c r="JNI210" s="46"/>
      <c r="JNJ210" s="46"/>
      <c r="JNK210" s="46"/>
      <c r="JNL210" s="46"/>
      <c r="JNM210" s="46"/>
      <c r="JNN210" s="46"/>
      <c r="JNO210" s="46"/>
      <c r="JNP210" s="46"/>
      <c r="JNQ210" s="46"/>
      <c r="JNR210" s="46"/>
      <c r="JNS210" s="46"/>
      <c r="JNT210" s="46"/>
      <c r="JNU210" s="46"/>
      <c r="JNV210" s="46"/>
      <c r="JNW210" s="46"/>
      <c r="JNX210" s="46"/>
      <c r="JNY210" s="46"/>
      <c r="JNZ210" s="46"/>
      <c r="JOA210" s="46"/>
      <c r="JOB210" s="46"/>
      <c r="JOC210" s="46"/>
      <c r="JOD210" s="46"/>
      <c r="JOE210" s="46"/>
      <c r="JOF210" s="46"/>
      <c r="JOG210" s="46"/>
      <c r="JOH210" s="46"/>
      <c r="JOI210" s="46"/>
      <c r="JOJ210" s="46"/>
      <c r="JOK210" s="46"/>
      <c r="JOL210" s="46"/>
      <c r="JOM210" s="46"/>
      <c r="JON210" s="46"/>
      <c r="JOO210" s="46"/>
      <c r="JOP210" s="46"/>
      <c r="JOQ210" s="46"/>
      <c r="JOR210" s="46"/>
      <c r="JOS210" s="46"/>
      <c r="JOT210" s="46"/>
      <c r="JOU210" s="46"/>
      <c r="JOV210" s="46"/>
      <c r="JOW210" s="46"/>
      <c r="JOX210" s="46"/>
      <c r="JOY210" s="46"/>
      <c r="JOZ210" s="46"/>
      <c r="JPA210" s="46"/>
      <c r="JPB210" s="46"/>
      <c r="JPC210" s="46"/>
      <c r="JPD210" s="46"/>
      <c r="JPE210" s="46"/>
      <c r="JPF210" s="46"/>
      <c r="JPG210" s="46"/>
      <c r="JPH210" s="46"/>
      <c r="JPI210" s="46"/>
      <c r="JPJ210" s="46"/>
      <c r="JPK210" s="46"/>
      <c r="JPL210" s="46"/>
      <c r="JPM210" s="46"/>
      <c r="JPN210" s="46"/>
      <c r="JPO210" s="46"/>
      <c r="JPP210" s="46"/>
      <c r="JPQ210" s="46"/>
      <c r="JPR210" s="46"/>
      <c r="JPS210" s="46"/>
      <c r="JPT210" s="46"/>
      <c r="JPU210" s="46"/>
      <c r="JPV210" s="46"/>
      <c r="JPW210" s="46"/>
      <c r="JPX210" s="46"/>
      <c r="JPY210" s="46"/>
      <c r="JPZ210" s="46"/>
      <c r="JQA210" s="46"/>
      <c r="JQB210" s="46"/>
      <c r="JQC210" s="46"/>
      <c r="JQD210" s="46"/>
      <c r="JQE210" s="46"/>
      <c r="JQF210" s="46"/>
      <c r="JQG210" s="46"/>
      <c r="JQH210" s="46"/>
      <c r="JQI210" s="46"/>
      <c r="JQJ210" s="46"/>
      <c r="JQK210" s="46"/>
      <c r="JQL210" s="46"/>
      <c r="JQM210" s="46"/>
      <c r="JQN210" s="46"/>
      <c r="JQO210" s="46"/>
      <c r="JQP210" s="46"/>
      <c r="JQQ210" s="46"/>
      <c r="JQR210" s="46"/>
      <c r="JQS210" s="46"/>
      <c r="JQT210" s="46"/>
      <c r="JQU210" s="46"/>
      <c r="JQV210" s="46"/>
      <c r="JQW210" s="46"/>
      <c r="JQX210" s="46"/>
      <c r="JQY210" s="46"/>
      <c r="JQZ210" s="46"/>
      <c r="JRA210" s="46"/>
      <c r="JRB210" s="46"/>
      <c r="JRC210" s="46"/>
      <c r="JRD210" s="46"/>
      <c r="JRE210" s="46"/>
      <c r="JRF210" s="46"/>
      <c r="JRG210" s="46"/>
      <c r="JRH210" s="46"/>
      <c r="JRI210" s="46"/>
      <c r="JRJ210" s="46"/>
      <c r="JRK210" s="46"/>
      <c r="JRL210" s="46"/>
      <c r="JRM210" s="46"/>
      <c r="JRN210" s="46"/>
      <c r="JRO210" s="46"/>
      <c r="JRP210" s="46"/>
      <c r="JRQ210" s="46"/>
      <c r="JRR210" s="46"/>
      <c r="JRS210" s="46"/>
      <c r="JRT210" s="46"/>
      <c r="JRU210" s="46"/>
      <c r="JRV210" s="46"/>
      <c r="JRW210" s="46"/>
      <c r="JRX210" s="46"/>
      <c r="JRY210" s="46"/>
      <c r="JRZ210" s="46"/>
      <c r="JSA210" s="46"/>
      <c r="JSB210" s="46"/>
      <c r="JSC210" s="46"/>
      <c r="JSD210" s="46"/>
      <c r="JSE210" s="46"/>
      <c r="JSF210" s="46"/>
      <c r="JSG210" s="46"/>
      <c r="JSH210" s="46"/>
      <c r="JSI210" s="46"/>
      <c r="JSJ210" s="46"/>
      <c r="JSK210" s="46"/>
      <c r="JSL210" s="46"/>
      <c r="JSM210" s="46"/>
      <c r="JSN210" s="46"/>
      <c r="JSO210" s="46"/>
      <c r="JSP210" s="46"/>
      <c r="JSQ210" s="46"/>
      <c r="JSR210" s="46"/>
      <c r="JSS210" s="46"/>
      <c r="JST210" s="46"/>
      <c r="JSU210" s="46"/>
      <c r="JSV210" s="46"/>
      <c r="JSW210" s="46"/>
      <c r="JSX210" s="46"/>
      <c r="JSY210" s="46"/>
      <c r="JSZ210" s="46"/>
      <c r="JTA210" s="46"/>
      <c r="JTB210" s="46"/>
      <c r="JTC210" s="46"/>
      <c r="JTD210" s="46"/>
      <c r="JTE210" s="46"/>
      <c r="JTF210" s="46"/>
      <c r="JTG210" s="46"/>
      <c r="JTH210" s="46"/>
      <c r="JTI210" s="46"/>
      <c r="JTJ210" s="46"/>
      <c r="JTK210" s="46"/>
      <c r="JTL210" s="46"/>
      <c r="JTM210" s="46"/>
      <c r="JTN210" s="46"/>
      <c r="JTO210" s="46"/>
      <c r="JTP210" s="46"/>
      <c r="JTQ210" s="46"/>
      <c r="JTR210" s="46"/>
      <c r="JTS210" s="46"/>
      <c r="JTT210" s="46"/>
      <c r="JTU210" s="46"/>
      <c r="JTV210" s="46"/>
      <c r="JTW210" s="46"/>
      <c r="JTX210" s="46"/>
      <c r="JTY210" s="46"/>
      <c r="JTZ210" s="46"/>
      <c r="JUA210" s="46"/>
      <c r="JUB210" s="46"/>
      <c r="JUC210" s="46"/>
      <c r="JUD210" s="46"/>
      <c r="JUE210" s="46"/>
      <c r="JUF210" s="46"/>
      <c r="JUG210" s="46"/>
      <c r="JUH210" s="46"/>
      <c r="JUI210" s="46"/>
      <c r="JUJ210" s="46"/>
      <c r="JUK210" s="46"/>
      <c r="JUL210" s="46"/>
      <c r="JUM210" s="46"/>
      <c r="JUN210" s="46"/>
      <c r="JUO210" s="46"/>
      <c r="JUP210" s="46"/>
      <c r="JUQ210" s="46"/>
      <c r="JUR210" s="46"/>
      <c r="JUS210" s="46"/>
      <c r="JUT210" s="46"/>
      <c r="JUU210" s="46"/>
      <c r="JUV210" s="46"/>
      <c r="JUW210" s="46"/>
      <c r="JUX210" s="46"/>
      <c r="JUY210" s="46"/>
      <c r="JUZ210" s="46"/>
      <c r="JVA210" s="46"/>
      <c r="JVB210" s="46"/>
      <c r="JVC210" s="46"/>
      <c r="JVD210" s="46"/>
      <c r="JVE210" s="46"/>
      <c r="JVF210" s="46"/>
      <c r="JVG210" s="46"/>
      <c r="JVH210" s="46"/>
      <c r="JVI210" s="46"/>
      <c r="JVJ210" s="46"/>
      <c r="JVK210" s="46"/>
      <c r="JVL210" s="46"/>
      <c r="JVM210" s="46"/>
      <c r="JVN210" s="46"/>
      <c r="JVO210" s="46"/>
      <c r="JVP210" s="46"/>
      <c r="JVQ210" s="46"/>
      <c r="JVR210" s="46"/>
      <c r="JVS210" s="46"/>
      <c r="JVT210" s="46"/>
      <c r="JVU210" s="46"/>
      <c r="JVV210" s="46"/>
      <c r="JVW210" s="46"/>
      <c r="JVX210" s="46"/>
      <c r="JVY210" s="46"/>
      <c r="JVZ210" s="46"/>
      <c r="JWA210" s="46"/>
      <c r="JWB210" s="46"/>
      <c r="JWC210" s="46"/>
      <c r="JWD210" s="46"/>
      <c r="JWE210" s="46"/>
      <c r="JWF210" s="46"/>
      <c r="JWG210" s="46"/>
      <c r="JWH210" s="46"/>
      <c r="JWI210" s="46"/>
      <c r="JWJ210" s="46"/>
      <c r="JWK210" s="46"/>
      <c r="JWL210" s="46"/>
      <c r="JWM210" s="46"/>
      <c r="JWN210" s="46"/>
      <c r="JWO210" s="46"/>
      <c r="JWP210" s="46"/>
      <c r="JWQ210" s="46"/>
      <c r="JWR210" s="46"/>
      <c r="JWS210" s="46"/>
      <c r="JWT210" s="46"/>
      <c r="JWU210" s="46"/>
      <c r="JWV210" s="46"/>
      <c r="JWW210" s="46"/>
      <c r="JWX210" s="46"/>
      <c r="JWY210" s="46"/>
      <c r="JWZ210" s="46"/>
      <c r="JXA210" s="46"/>
      <c r="JXB210" s="46"/>
      <c r="JXC210" s="46"/>
      <c r="JXD210" s="46"/>
      <c r="JXE210" s="46"/>
      <c r="JXF210" s="46"/>
      <c r="JXG210" s="46"/>
      <c r="JXH210" s="46"/>
      <c r="JXI210" s="46"/>
      <c r="JXJ210" s="46"/>
      <c r="JXK210" s="46"/>
      <c r="JXL210" s="46"/>
      <c r="JXM210" s="46"/>
      <c r="JXN210" s="46"/>
      <c r="JXO210" s="46"/>
      <c r="JXP210" s="46"/>
      <c r="JXQ210" s="46"/>
      <c r="JXR210" s="46"/>
      <c r="JXS210" s="46"/>
      <c r="JXT210" s="46"/>
      <c r="JXU210" s="46"/>
      <c r="JXV210" s="46"/>
      <c r="JXW210" s="46"/>
      <c r="JXX210" s="46"/>
      <c r="JXY210" s="46"/>
      <c r="JXZ210" s="46"/>
      <c r="JYA210" s="46"/>
      <c r="JYB210" s="46"/>
      <c r="JYC210" s="46"/>
      <c r="JYD210" s="46"/>
      <c r="JYE210" s="46"/>
      <c r="JYF210" s="46"/>
      <c r="JYG210" s="46"/>
      <c r="JYH210" s="46"/>
      <c r="JYI210" s="46"/>
      <c r="JYJ210" s="46"/>
      <c r="JYK210" s="46"/>
      <c r="JYL210" s="46"/>
      <c r="JYM210" s="46"/>
      <c r="JYN210" s="46"/>
      <c r="JYO210" s="46"/>
      <c r="JYP210" s="46"/>
      <c r="JYQ210" s="46"/>
      <c r="JYR210" s="46"/>
      <c r="JYS210" s="46"/>
      <c r="JYT210" s="46"/>
      <c r="JYU210" s="46"/>
      <c r="JYV210" s="46"/>
      <c r="JYW210" s="46"/>
      <c r="JYX210" s="46"/>
      <c r="JYY210" s="46"/>
      <c r="JYZ210" s="46"/>
      <c r="JZA210" s="46"/>
      <c r="JZB210" s="46"/>
      <c r="JZC210" s="46"/>
      <c r="JZD210" s="46"/>
      <c r="JZE210" s="46"/>
      <c r="JZF210" s="46"/>
      <c r="JZG210" s="46"/>
      <c r="JZH210" s="46"/>
      <c r="JZI210" s="46"/>
      <c r="JZJ210" s="46"/>
      <c r="JZK210" s="46"/>
      <c r="JZL210" s="46"/>
      <c r="JZM210" s="46"/>
      <c r="JZN210" s="46"/>
      <c r="JZO210" s="46"/>
      <c r="JZP210" s="46"/>
      <c r="JZQ210" s="46"/>
      <c r="JZR210" s="46"/>
      <c r="JZS210" s="46"/>
      <c r="JZT210" s="46"/>
      <c r="JZU210" s="46"/>
      <c r="JZV210" s="46"/>
      <c r="JZW210" s="46"/>
      <c r="JZX210" s="46"/>
      <c r="JZY210" s="46"/>
      <c r="JZZ210" s="46"/>
      <c r="KAA210" s="46"/>
      <c r="KAB210" s="46"/>
      <c r="KAC210" s="46"/>
      <c r="KAD210" s="46"/>
      <c r="KAE210" s="46"/>
      <c r="KAF210" s="46"/>
      <c r="KAG210" s="46"/>
      <c r="KAH210" s="46"/>
      <c r="KAI210" s="46"/>
      <c r="KAJ210" s="46"/>
      <c r="KAK210" s="46"/>
      <c r="KAL210" s="46"/>
      <c r="KAM210" s="46"/>
      <c r="KAN210" s="46"/>
      <c r="KAO210" s="46"/>
      <c r="KAP210" s="46"/>
      <c r="KAQ210" s="46"/>
      <c r="KAR210" s="46"/>
      <c r="KAS210" s="46"/>
      <c r="KAT210" s="46"/>
      <c r="KAU210" s="46"/>
      <c r="KAV210" s="46"/>
      <c r="KAW210" s="46"/>
      <c r="KAX210" s="46"/>
      <c r="KAY210" s="46"/>
      <c r="KAZ210" s="46"/>
      <c r="KBA210" s="46"/>
      <c r="KBB210" s="46"/>
      <c r="KBC210" s="46"/>
      <c r="KBD210" s="46"/>
      <c r="KBE210" s="46"/>
      <c r="KBF210" s="46"/>
      <c r="KBG210" s="46"/>
      <c r="KBH210" s="46"/>
      <c r="KBI210" s="46"/>
      <c r="KBJ210" s="46"/>
      <c r="KBK210" s="46"/>
      <c r="KBL210" s="46"/>
      <c r="KBM210" s="46"/>
      <c r="KBN210" s="46"/>
      <c r="KBO210" s="46"/>
      <c r="KBP210" s="46"/>
      <c r="KBQ210" s="46"/>
      <c r="KBR210" s="46"/>
      <c r="KBS210" s="46"/>
      <c r="KBT210" s="46"/>
      <c r="KBU210" s="46"/>
      <c r="KBV210" s="46"/>
      <c r="KBW210" s="46"/>
      <c r="KBX210" s="46"/>
      <c r="KBY210" s="46"/>
      <c r="KBZ210" s="46"/>
      <c r="KCA210" s="46"/>
      <c r="KCB210" s="46"/>
      <c r="KCC210" s="46"/>
      <c r="KCD210" s="46"/>
      <c r="KCE210" s="46"/>
      <c r="KCF210" s="46"/>
      <c r="KCG210" s="46"/>
      <c r="KCH210" s="46"/>
      <c r="KCI210" s="46"/>
      <c r="KCJ210" s="46"/>
      <c r="KCK210" s="46"/>
      <c r="KCL210" s="46"/>
      <c r="KCM210" s="46"/>
      <c r="KCN210" s="46"/>
      <c r="KCO210" s="46"/>
      <c r="KCP210" s="46"/>
      <c r="KCQ210" s="46"/>
      <c r="KCR210" s="46"/>
      <c r="KCS210" s="46"/>
      <c r="KCT210" s="46"/>
      <c r="KCU210" s="46"/>
      <c r="KCV210" s="46"/>
      <c r="KCW210" s="46"/>
      <c r="KCX210" s="46"/>
      <c r="KCY210" s="46"/>
      <c r="KCZ210" s="46"/>
      <c r="KDA210" s="46"/>
      <c r="KDB210" s="46"/>
      <c r="KDC210" s="46"/>
      <c r="KDD210" s="46"/>
      <c r="KDE210" s="46"/>
      <c r="KDF210" s="46"/>
      <c r="KDG210" s="46"/>
      <c r="KDH210" s="46"/>
      <c r="KDI210" s="46"/>
      <c r="KDJ210" s="46"/>
      <c r="KDK210" s="46"/>
      <c r="KDL210" s="46"/>
      <c r="KDM210" s="46"/>
      <c r="KDN210" s="46"/>
      <c r="KDO210" s="46"/>
      <c r="KDP210" s="46"/>
      <c r="KDQ210" s="46"/>
      <c r="KDR210" s="46"/>
      <c r="KDS210" s="46"/>
      <c r="KDT210" s="46"/>
      <c r="KDU210" s="46"/>
      <c r="KDV210" s="46"/>
      <c r="KDW210" s="46"/>
      <c r="KDX210" s="46"/>
      <c r="KDY210" s="46"/>
      <c r="KDZ210" s="46"/>
      <c r="KEA210" s="46"/>
      <c r="KEB210" s="46"/>
      <c r="KEC210" s="46"/>
      <c r="KED210" s="46"/>
      <c r="KEE210" s="46"/>
      <c r="KEF210" s="46"/>
      <c r="KEG210" s="46"/>
      <c r="KEH210" s="46"/>
      <c r="KEI210" s="46"/>
      <c r="KEJ210" s="46"/>
      <c r="KEK210" s="46"/>
      <c r="KEL210" s="46"/>
      <c r="KEM210" s="46"/>
      <c r="KEN210" s="46"/>
      <c r="KEO210" s="46"/>
      <c r="KEP210" s="46"/>
      <c r="KEQ210" s="46"/>
      <c r="KER210" s="46"/>
      <c r="KES210" s="46"/>
      <c r="KET210" s="46"/>
      <c r="KEU210" s="46"/>
      <c r="KEV210" s="46"/>
      <c r="KEW210" s="46"/>
      <c r="KEX210" s="46"/>
      <c r="KEY210" s="46"/>
      <c r="KEZ210" s="46"/>
      <c r="KFA210" s="46"/>
      <c r="KFB210" s="46"/>
      <c r="KFC210" s="46"/>
      <c r="KFD210" s="46"/>
      <c r="KFE210" s="46"/>
      <c r="KFF210" s="46"/>
      <c r="KFG210" s="46"/>
      <c r="KFH210" s="46"/>
      <c r="KFI210" s="46"/>
      <c r="KFJ210" s="46"/>
      <c r="KFK210" s="46"/>
      <c r="KFL210" s="46"/>
      <c r="KFM210" s="46"/>
      <c r="KFN210" s="46"/>
      <c r="KFO210" s="46"/>
      <c r="KFP210" s="46"/>
      <c r="KFQ210" s="46"/>
      <c r="KFR210" s="46"/>
      <c r="KFS210" s="46"/>
      <c r="KFT210" s="46"/>
      <c r="KFU210" s="46"/>
      <c r="KFV210" s="46"/>
      <c r="KFW210" s="46"/>
      <c r="KFX210" s="46"/>
      <c r="KFY210" s="46"/>
      <c r="KFZ210" s="46"/>
      <c r="KGA210" s="46"/>
      <c r="KGB210" s="46"/>
      <c r="KGC210" s="46"/>
      <c r="KGD210" s="46"/>
      <c r="KGE210" s="46"/>
      <c r="KGF210" s="46"/>
      <c r="KGG210" s="46"/>
      <c r="KGH210" s="46"/>
      <c r="KGI210" s="46"/>
      <c r="KGJ210" s="46"/>
      <c r="KGK210" s="46"/>
      <c r="KGL210" s="46"/>
      <c r="KGM210" s="46"/>
      <c r="KGN210" s="46"/>
      <c r="KGO210" s="46"/>
      <c r="KGP210" s="46"/>
      <c r="KGQ210" s="46"/>
      <c r="KGR210" s="46"/>
      <c r="KGS210" s="46"/>
      <c r="KGT210" s="46"/>
      <c r="KGU210" s="46"/>
      <c r="KGV210" s="46"/>
      <c r="KGW210" s="46"/>
      <c r="KGX210" s="46"/>
      <c r="KGY210" s="46"/>
      <c r="KGZ210" s="46"/>
      <c r="KHA210" s="46"/>
      <c r="KHB210" s="46"/>
      <c r="KHC210" s="46"/>
      <c r="KHD210" s="46"/>
      <c r="KHE210" s="46"/>
      <c r="KHF210" s="46"/>
      <c r="KHG210" s="46"/>
      <c r="KHH210" s="46"/>
      <c r="KHI210" s="46"/>
      <c r="KHJ210" s="46"/>
      <c r="KHK210" s="46"/>
      <c r="KHL210" s="46"/>
      <c r="KHM210" s="46"/>
      <c r="KHN210" s="46"/>
      <c r="KHO210" s="46"/>
      <c r="KHP210" s="46"/>
      <c r="KHQ210" s="46"/>
      <c r="KHR210" s="46"/>
      <c r="KHS210" s="46"/>
      <c r="KHT210" s="46"/>
      <c r="KHU210" s="46"/>
      <c r="KHV210" s="46"/>
      <c r="KHW210" s="46"/>
      <c r="KHX210" s="46"/>
      <c r="KHY210" s="46"/>
      <c r="KHZ210" s="46"/>
      <c r="KIA210" s="46"/>
      <c r="KIB210" s="46"/>
      <c r="KIC210" s="46"/>
      <c r="KID210" s="46"/>
      <c r="KIE210" s="46"/>
      <c r="KIF210" s="46"/>
      <c r="KIG210" s="46"/>
      <c r="KIH210" s="46"/>
      <c r="KII210" s="46"/>
      <c r="KIJ210" s="46"/>
      <c r="KIK210" s="46"/>
      <c r="KIL210" s="46"/>
      <c r="KIM210" s="46"/>
      <c r="KIN210" s="46"/>
      <c r="KIO210" s="46"/>
      <c r="KIP210" s="46"/>
      <c r="KIQ210" s="46"/>
      <c r="KIR210" s="46"/>
      <c r="KIS210" s="46"/>
      <c r="KIT210" s="46"/>
      <c r="KIU210" s="46"/>
      <c r="KIV210" s="46"/>
      <c r="KIW210" s="46"/>
      <c r="KIX210" s="46"/>
      <c r="KIY210" s="46"/>
      <c r="KIZ210" s="46"/>
      <c r="KJA210" s="46"/>
      <c r="KJB210" s="46"/>
      <c r="KJC210" s="46"/>
      <c r="KJD210" s="46"/>
      <c r="KJE210" s="46"/>
      <c r="KJF210" s="46"/>
      <c r="KJG210" s="46"/>
      <c r="KJH210" s="46"/>
      <c r="KJI210" s="46"/>
      <c r="KJJ210" s="46"/>
      <c r="KJK210" s="46"/>
      <c r="KJL210" s="46"/>
      <c r="KJM210" s="46"/>
      <c r="KJN210" s="46"/>
      <c r="KJO210" s="46"/>
      <c r="KJP210" s="46"/>
      <c r="KJQ210" s="46"/>
      <c r="KJR210" s="46"/>
      <c r="KJS210" s="46"/>
      <c r="KJT210" s="46"/>
      <c r="KJU210" s="46"/>
      <c r="KJV210" s="46"/>
      <c r="KJW210" s="46"/>
      <c r="KJX210" s="46"/>
      <c r="KJY210" s="46"/>
      <c r="KJZ210" s="46"/>
      <c r="KKA210" s="46"/>
      <c r="KKB210" s="46"/>
      <c r="KKC210" s="46"/>
      <c r="KKD210" s="46"/>
      <c r="KKE210" s="46"/>
      <c r="KKF210" s="46"/>
      <c r="KKG210" s="46"/>
      <c r="KKH210" s="46"/>
      <c r="KKI210" s="46"/>
      <c r="KKJ210" s="46"/>
      <c r="KKK210" s="46"/>
      <c r="KKL210" s="46"/>
      <c r="KKM210" s="46"/>
      <c r="KKN210" s="46"/>
      <c r="KKO210" s="46"/>
      <c r="KKP210" s="46"/>
      <c r="KKQ210" s="46"/>
      <c r="KKR210" s="46"/>
      <c r="KKS210" s="46"/>
      <c r="KKT210" s="46"/>
      <c r="KKU210" s="46"/>
      <c r="KKV210" s="46"/>
      <c r="KKW210" s="46"/>
      <c r="KKX210" s="46"/>
      <c r="KKY210" s="46"/>
      <c r="KKZ210" s="46"/>
      <c r="KLA210" s="46"/>
      <c r="KLB210" s="46"/>
      <c r="KLC210" s="46"/>
      <c r="KLD210" s="46"/>
      <c r="KLE210" s="46"/>
      <c r="KLF210" s="46"/>
      <c r="KLG210" s="46"/>
      <c r="KLH210" s="46"/>
      <c r="KLI210" s="46"/>
      <c r="KLJ210" s="46"/>
      <c r="KLK210" s="46"/>
      <c r="KLL210" s="46"/>
      <c r="KLM210" s="46"/>
      <c r="KLN210" s="46"/>
      <c r="KLO210" s="46"/>
      <c r="KLP210" s="46"/>
      <c r="KLQ210" s="46"/>
      <c r="KLR210" s="46"/>
      <c r="KLS210" s="46"/>
      <c r="KLT210" s="46"/>
      <c r="KLU210" s="46"/>
      <c r="KLV210" s="46"/>
      <c r="KLW210" s="46"/>
      <c r="KLX210" s="46"/>
      <c r="KLY210" s="46"/>
      <c r="KLZ210" s="46"/>
      <c r="KMA210" s="46"/>
      <c r="KMB210" s="46"/>
      <c r="KMC210" s="46"/>
      <c r="KMD210" s="46"/>
      <c r="KME210" s="46"/>
      <c r="KMF210" s="46"/>
      <c r="KMG210" s="46"/>
      <c r="KMH210" s="46"/>
      <c r="KMI210" s="46"/>
      <c r="KMJ210" s="46"/>
      <c r="KMK210" s="46"/>
      <c r="KML210" s="46"/>
      <c r="KMM210" s="46"/>
      <c r="KMN210" s="46"/>
      <c r="KMO210" s="46"/>
      <c r="KMP210" s="46"/>
      <c r="KMQ210" s="46"/>
      <c r="KMR210" s="46"/>
      <c r="KMS210" s="46"/>
      <c r="KMT210" s="46"/>
      <c r="KMU210" s="46"/>
      <c r="KMV210" s="46"/>
      <c r="KMW210" s="46"/>
      <c r="KMX210" s="46"/>
      <c r="KMY210" s="46"/>
      <c r="KMZ210" s="46"/>
      <c r="KNA210" s="46"/>
      <c r="KNB210" s="46"/>
      <c r="KNC210" s="46"/>
      <c r="KND210" s="46"/>
      <c r="KNE210" s="46"/>
      <c r="KNF210" s="46"/>
      <c r="KNG210" s="46"/>
      <c r="KNH210" s="46"/>
      <c r="KNI210" s="46"/>
      <c r="KNJ210" s="46"/>
      <c r="KNK210" s="46"/>
      <c r="KNL210" s="46"/>
      <c r="KNM210" s="46"/>
      <c r="KNN210" s="46"/>
      <c r="KNO210" s="46"/>
      <c r="KNP210" s="46"/>
      <c r="KNQ210" s="46"/>
      <c r="KNR210" s="46"/>
      <c r="KNS210" s="46"/>
      <c r="KNT210" s="46"/>
      <c r="KNU210" s="46"/>
      <c r="KNV210" s="46"/>
      <c r="KNW210" s="46"/>
      <c r="KNX210" s="46"/>
      <c r="KNY210" s="46"/>
      <c r="KNZ210" s="46"/>
      <c r="KOA210" s="46"/>
      <c r="KOB210" s="46"/>
      <c r="KOC210" s="46"/>
      <c r="KOD210" s="46"/>
      <c r="KOE210" s="46"/>
      <c r="KOF210" s="46"/>
      <c r="KOG210" s="46"/>
      <c r="KOH210" s="46"/>
      <c r="KOI210" s="46"/>
      <c r="KOJ210" s="46"/>
      <c r="KOK210" s="46"/>
      <c r="KOL210" s="46"/>
      <c r="KOM210" s="46"/>
      <c r="KON210" s="46"/>
      <c r="KOO210" s="46"/>
      <c r="KOP210" s="46"/>
      <c r="KOQ210" s="46"/>
      <c r="KOR210" s="46"/>
      <c r="KOS210" s="46"/>
      <c r="KOT210" s="46"/>
      <c r="KOU210" s="46"/>
      <c r="KOV210" s="46"/>
      <c r="KOW210" s="46"/>
      <c r="KOX210" s="46"/>
      <c r="KOY210" s="46"/>
      <c r="KOZ210" s="46"/>
      <c r="KPA210" s="46"/>
      <c r="KPB210" s="46"/>
      <c r="KPC210" s="46"/>
      <c r="KPD210" s="46"/>
      <c r="KPE210" s="46"/>
      <c r="KPF210" s="46"/>
      <c r="KPG210" s="46"/>
      <c r="KPH210" s="46"/>
      <c r="KPI210" s="46"/>
      <c r="KPJ210" s="46"/>
      <c r="KPK210" s="46"/>
      <c r="KPL210" s="46"/>
      <c r="KPM210" s="46"/>
      <c r="KPN210" s="46"/>
      <c r="KPO210" s="46"/>
      <c r="KPP210" s="46"/>
      <c r="KPQ210" s="46"/>
      <c r="KPR210" s="46"/>
      <c r="KPS210" s="46"/>
      <c r="KPT210" s="46"/>
      <c r="KPU210" s="46"/>
      <c r="KPV210" s="46"/>
      <c r="KPW210" s="46"/>
      <c r="KPX210" s="46"/>
      <c r="KPY210" s="46"/>
      <c r="KPZ210" s="46"/>
      <c r="KQA210" s="46"/>
      <c r="KQB210" s="46"/>
      <c r="KQC210" s="46"/>
      <c r="KQD210" s="46"/>
      <c r="KQE210" s="46"/>
      <c r="KQF210" s="46"/>
      <c r="KQG210" s="46"/>
      <c r="KQH210" s="46"/>
      <c r="KQI210" s="46"/>
      <c r="KQJ210" s="46"/>
      <c r="KQK210" s="46"/>
      <c r="KQL210" s="46"/>
      <c r="KQM210" s="46"/>
      <c r="KQN210" s="46"/>
      <c r="KQO210" s="46"/>
      <c r="KQP210" s="46"/>
      <c r="KQQ210" s="46"/>
      <c r="KQR210" s="46"/>
      <c r="KQS210" s="46"/>
      <c r="KQT210" s="46"/>
      <c r="KQU210" s="46"/>
      <c r="KQV210" s="46"/>
      <c r="KQW210" s="46"/>
      <c r="KQX210" s="46"/>
      <c r="KQY210" s="46"/>
      <c r="KQZ210" s="46"/>
      <c r="KRA210" s="46"/>
      <c r="KRB210" s="46"/>
      <c r="KRC210" s="46"/>
      <c r="KRD210" s="46"/>
      <c r="KRE210" s="46"/>
      <c r="KRF210" s="46"/>
      <c r="KRG210" s="46"/>
      <c r="KRH210" s="46"/>
      <c r="KRI210" s="46"/>
      <c r="KRJ210" s="46"/>
      <c r="KRK210" s="46"/>
      <c r="KRL210" s="46"/>
      <c r="KRM210" s="46"/>
      <c r="KRN210" s="46"/>
      <c r="KRO210" s="46"/>
      <c r="KRP210" s="46"/>
      <c r="KRQ210" s="46"/>
      <c r="KRR210" s="46"/>
      <c r="KRS210" s="46"/>
      <c r="KRT210" s="46"/>
      <c r="KRU210" s="46"/>
      <c r="KRV210" s="46"/>
      <c r="KRW210" s="46"/>
      <c r="KRX210" s="46"/>
      <c r="KRY210" s="46"/>
      <c r="KRZ210" s="46"/>
      <c r="KSA210" s="46"/>
      <c r="KSB210" s="46"/>
      <c r="KSC210" s="46"/>
      <c r="KSD210" s="46"/>
      <c r="KSE210" s="46"/>
      <c r="KSF210" s="46"/>
      <c r="KSG210" s="46"/>
      <c r="KSH210" s="46"/>
      <c r="KSI210" s="46"/>
      <c r="KSJ210" s="46"/>
      <c r="KSK210" s="46"/>
      <c r="KSL210" s="46"/>
      <c r="KSM210" s="46"/>
      <c r="KSN210" s="46"/>
      <c r="KSO210" s="46"/>
      <c r="KSP210" s="46"/>
      <c r="KSQ210" s="46"/>
      <c r="KSR210" s="46"/>
      <c r="KSS210" s="46"/>
      <c r="KST210" s="46"/>
      <c r="KSU210" s="46"/>
      <c r="KSV210" s="46"/>
      <c r="KSW210" s="46"/>
      <c r="KSX210" s="46"/>
      <c r="KSY210" s="46"/>
      <c r="KSZ210" s="46"/>
      <c r="KTA210" s="46"/>
      <c r="KTB210" s="46"/>
      <c r="KTC210" s="46"/>
      <c r="KTD210" s="46"/>
      <c r="KTE210" s="46"/>
      <c r="KTF210" s="46"/>
      <c r="KTG210" s="46"/>
      <c r="KTH210" s="46"/>
      <c r="KTI210" s="46"/>
      <c r="KTJ210" s="46"/>
      <c r="KTK210" s="46"/>
      <c r="KTL210" s="46"/>
      <c r="KTM210" s="46"/>
      <c r="KTN210" s="46"/>
      <c r="KTO210" s="46"/>
      <c r="KTP210" s="46"/>
      <c r="KTQ210" s="46"/>
      <c r="KTR210" s="46"/>
      <c r="KTS210" s="46"/>
      <c r="KTT210" s="46"/>
      <c r="KTU210" s="46"/>
      <c r="KTV210" s="46"/>
      <c r="KTW210" s="46"/>
      <c r="KTX210" s="46"/>
      <c r="KTY210" s="46"/>
      <c r="KTZ210" s="46"/>
      <c r="KUA210" s="46"/>
      <c r="KUB210" s="46"/>
      <c r="KUC210" s="46"/>
      <c r="KUD210" s="46"/>
      <c r="KUE210" s="46"/>
      <c r="KUF210" s="46"/>
      <c r="KUG210" s="46"/>
      <c r="KUH210" s="46"/>
      <c r="KUI210" s="46"/>
      <c r="KUJ210" s="46"/>
      <c r="KUK210" s="46"/>
      <c r="KUL210" s="46"/>
      <c r="KUM210" s="46"/>
      <c r="KUN210" s="46"/>
      <c r="KUO210" s="46"/>
      <c r="KUP210" s="46"/>
      <c r="KUQ210" s="46"/>
      <c r="KUR210" s="46"/>
      <c r="KUS210" s="46"/>
      <c r="KUT210" s="46"/>
      <c r="KUU210" s="46"/>
      <c r="KUV210" s="46"/>
      <c r="KUW210" s="46"/>
      <c r="KUX210" s="46"/>
      <c r="KUY210" s="46"/>
      <c r="KUZ210" s="46"/>
      <c r="KVA210" s="46"/>
      <c r="KVB210" s="46"/>
      <c r="KVC210" s="46"/>
      <c r="KVD210" s="46"/>
      <c r="KVE210" s="46"/>
      <c r="KVF210" s="46"/>
      <c r="KVG210" s="46"/>
      <c r="KVH210" s="46"/>
      <c r="KVI210" s="46"/>
      <c r="KVJ210" s="46"/>
      <c r="KVK210" s="46"/>
      <c r="KVL210" s="46"/>
      <c r="KVM210" s="46"/>
      <c r="KVN210" s="46"/>
      <c r="KVO210" s="46"/>
      <c r="KVP210" s="46"/>
      <c r="KVQ210" s="46"/>
      <c r="KVR210" s="46"/>
      <c r="KVS210" s="46"/>
      <c r="KVT210" s="46"/>
      <c r="KVU210" s="46"/>
      <c r="KVV210" s="46"/>
      <c r="KVW210" s="46"/>
      <c r="KVX210" s="46"/>
      <c r="KVY210" s="46"/>
      <c r="KVZ210" s="46"/>
      <c r="KWA210" s="46"/>
      <c r="KWB210" s="46"/>
      <c r="KWC210" s="46"/>
      <c r="KWD210" s="46"/>
      <c r="KWE210" s="46"/>
      <c r="KWF210" s="46"/>
      <c r="KWG210" s="46"/>
      <c r="KWH210" s="46"/>
      <c r="KWI210" s="46"/>
      <c r="KWJ210" s="46"/>
      <c r="KWK210" s="46"/>
      <c r="KWL210" s="46"/>
      <c r="KWM210" s="46"/>
      <c r="KWN210" s="46"/>
      <c r="KWO210" s="46"/>
      <c r="KWP210" s="46"/>
      <c r="KWQ210" s="46"/>
      <c r="KWR210" s="46"/>
      <c r="KWS210" s="46"/>
      <c r="KWT210" s="46"/>
      <c r="KWU210" s="46"/>
      <c r="KWV210" s="46"/>
      <c r="KWW210" s="46"/>
      <c r="KWX210" s="46"/>
      <c r="KWY210" s="46"/>
      <c r="KWZ210" s="46"/>
      <c r="KXA210" s="46"/>
      <c r="KXB210" s="46"/>
      <c r="KXC210" s="46"/>
      <c r="KXD210" s="46"/>
      <c r="KXE210" s="46"/>
      <c r="KXF210" s="46"/>
      <c r="KXG210" s="46"/>
      <c r="KXH210" s="46"/>
      <c r="KXI210" s="46"/>
      <c r="KXJ210" s="46"/>
      <c r="KXK210" s="46"/>
      <c r="KXL210" s="46"/>
      <c r="KXM210" s="46"/>
      <c r="KXN210" s="46"/>
      <c r="KXO210" s="46"/>
      <c r="KXP210" s="46"/>
      <c r="KXQ210" s="46"/>
      <c r="KXR210" s="46"/>
      <c r="KXS210" s="46"/>
      <c r="KXT210" s="46"/>
      <c r="KXU210" s="46"/>
      <c r="KXV210" s="46"/>
      <c r="KXW210" s="46"/>
      <c r="KXX210" s="46"/>
      <c r="KXY210" s="46"/>
      <c r="KXZ210" s="46"/>
      <c r="KYA210" s="46"/>
      <c r="KYB210" s="46"/>
      <c r="KYC210" s="46"/>
      <c r="KYD210" s="46"/>
      <c r="KYE210" s="46"/>
      <c r="KYF210" s="46"/>
      <c r="KYG210" s="46"/>
      <c r="KYH210" s="46"/>
      <c r="KYI210" s="46"/>
      <c r="KYJ210" s="46"/>
      <c r="KYK210" s="46"/>
      <c r="KYL210" s="46"/>
      <c r="KYM210" s="46"/>
      <c r="KYN210" s="46"/>
      <c r="KYO210" s="46"/>
      <c r="KYP210" s="46"/>
      <c r="KYQ210" s="46"/>
      <c r="KYR210" s="46"/>
      <c r="KYS210" s="46"/>
      <c r="KYT210" s="46"/>
      <c r="KYU210" s="46"/>
      <c r="KYV210" s="46"/>
      <c r="KYW210" s="46"/>
      <c r="KYX210" s="46"/>
      <c r="KYY210" s="46"/>
      <c r="KYZ210" s="46"/>
      <c r="KZA210" s="46"/>
      <c r="KZB210" s="46"/>
      <c r="KZC210" s="46"/>
      <c r="KZD210" s="46"/>
      <c r="KZE210" s="46"/>
      <c r="KZF210" s="46"/>
      <c r="KZG210" s="46"/>
      <c r="KZH210" s="46"/>
      <c r="KZI210" s="46"/>
      <c r="KZJ210" s="46"/>
      <c r="KZK210" s="46"/>
      <c r="KZL210" s="46"/>
      <c r="KZM210" s="46"/>
      <c r="KZN210" s="46"/>
      <c r="KZO210" s="46"/>
      <c r="KZP210" s="46"/>
      <c r="KZQ210" s="46"/>
      <c r="KZR210" s="46"/>
      <c r="KZS210" s="46"/>
      <c r="KZT210" s="46"/>
      <c r="KZU210" s="46"/>
      <c r="KZV210" s="46"/>
      <c r="KZW210" s="46"/>
      <c r="KZX210" s="46"/>
      <c r="KZY210" s="46"/>
      <c r="KZZ210" s="46"/>
      <c r="LAA210" s="46"/>
      <c r="LAB210" s="46"/>
      <c r="LAC210" s="46"/>
      <c r="LAD210" s="46"/>
      <c r="LAE210" s="46"/>
      <c r="LAF210" s="46"/>
      <c r="LAG210" s="46"/>
      <c r="LAH210" s="46"/>
      <c r="LAI210" s="46"/>
      <c r="LAJ210" s="46"/>
      <c r="LAK210" s="46"/>
      <c r="LAL210" s="46"/>
      <c r="LAM210" s="46"/>
      <c r="LAN210" s="46"/>
      <c r="LAO210" s="46"/>
      <c r="LAP210" s="46"/>
      <c r="LAQ210" s="46"/>
      <c r="LAR210" s="46"/>
      <c r="LAS210" s="46"/>
      <c r="LAT210" s="46"/>
      <c r="LAU210" s="46"/>
      <c r="LAV210" s="46"/>
      <c r="LAW210" s="46"/>
      <c r="LAX210" s="46"/>
      <c r="LAY210" s="46"/>
      <c r="LAZ210" s="46"/>
      <c r="LBA210" s="46"/>
      <c r="LBB210" s="46"/>
      <c r="LBC210" s="46"/>
      <c r="LBD210" s="46"/>
      <c r="LBE210" s="46"/>
      <c r="LBF210" s="46"/>
      <c r="LBG210" s="46"/>
      <c r="LBH210" s="46"/>
      <c r="LBI210" s="46"/>
      <c r="LBJ210" s="46"/>
      <c r="LBK210" s="46"/>
      <c r="LBL210" s="46"/>
      <c r="LBM210" s="46"/>
      <c r="LBN210" s="46"/>
      <c r="LBO210" s="46"/>
      <c r="LBP210" s="46"/>
      <c r="LBQ210" s="46"/>
      <c r="LBR210" s="46"/>
      <c r="LBS210" s="46"/>
      <c r="LBT210" s="46"/>
      <c r="LBU210" s="46"/>
      <c r="LBV210" s="46"/>
      <c r="LBW210" s="46"/>
      <c r="LBX210" s="46"/>
      <c r="LBY210" s="46"/>
      <c r="LBZ210" s="46"/>
      <c r="LCA210" s="46"/>
      <c r="LCB210" s="46"/>
      <c r="LCC210" s="46"/>
      <c r="LCD210" s="46"/>
      <c r="LCE210" s="46"/>
      <c r="LCF210" s="46"/>
      <c r="LCG210" s="46"/>
      <c r="LCH210" s="46"/>
      <c r="LCI210" s="46"/>
      <c r="LCJ210" s="46"/>
      <c r="LCK210" s="46"/>
      <c r="LCL210" s="46"/>
      <c r="LCM210" s="46"/>
      <c r="LCN210" s="46"/>
      <c r="LCO210" s="46"/>
      <c r="LCP210" s="46"/>
      <c r="LCQ210" s="46"/>
      <c r="LCR210" s="46"/>
      <c r="LCS210" s="46"/>
      <c r="LCT210" s="46"/>
      <c r="LCU210" s="46"/>
      <c r="LCV210" s="46"/>
      <c r="LCW210" s="46"/>
      <c r="LCX210" s="46"/>
      <c r="LCY210" s="46"/>
      <c r="LCZ210" s="46"/>
      <c r="LDA210" s="46"/>
      <c r="LDB210" s="46"/>
      <c r="LDC210" s="46"/>
      <c r="LDD210" s="46"/>
      <c r="LDE210" s="46"/>
      <c r="LDF210" s="46"/>
      <c r="LDG210" s="46"/>
      <c r="LDH210" s="46"/>
      <c r="LDI210" s="46"/>
      <c r="LDJ210" s="46"/>
      <c r="LDK210" s="46"/>
      <c r="LDL210" s="46"/>
      <c r="LDM210" s="46"/>
      <c r="LDN210" s="46"/>
      <c r="LDO210" s="46"/>
      <c r="LDP210" s="46"/>
      <c r="LDQ210" s="46"/>
      <c r="LDR210" s="46"/>
      <c r="LDS210" s="46"/>
      <c r="LDT210" s="46"/>
      <c r="LDU210" s="46"/>
      <c r="LDV210" s="46"/>
      <c r="LDW210" s="46"/>
      <c r="LDX210" s="46"/>
      <c r="LDY210" s="46"/>
      <c r="LDZ210" s="46"/>
      <c r="LEA210" s="46"/>
      <c r="LEB210" s="46"/>
      <c r="LEC210" s="46"/>
      <c r="LED210" s="46"/>
      <c r="LEE210" s="46"/>
      <c r="LEF210" s="46"/>
      <c r="LEG210" s="46"/>
      <c r="LEH210" s="46"/>
      <c r="LEI210" s="46"/>
      <c r="LEJ210" s="46"/>
      <c r="LEK210" s="46"/>
      <c r="LEL210" s="46"/>
      <c r="LEM210" s="46"/>
      <c r="LEN210" s="46"/>
      <c r="LEO210" s="46"/>
      <c r="LEP210" s="46"/>
      <c r="LEQ210" s="46"/>
      <c r="LER210" s="46"/>
      <c r="LES210" s="46"/>
      <c r="LET210" s="46"/>
      <c r="LEU210" s="46"/>
      <c r="LEV210" s="46"/>
      <c r="LEW210" s="46"/>
      <c r="LEX210" s="46"/>
      <c r="LEY210" s="46"/>
      <c r="LEZ210" s="46"/>
      <c r="LFA210" s="46"/>
      <c r="LFB210" s="46"/>
      <c r="LFC210" s="46"/>
      <c r="LFD210" s="46"/>
      <c r="LFE210" s="46"/>
      <c r="LFF210" s="46"/>
      <c r="LFG210" s="46"/>
      <c r="LFH210" s="46"/>
      <c r="LFI210" s="46"/>
      <c r="LFJ210" s="46"/>
      <c r="LFK210" s="46"/>
      <c r="LFL210" s="46"/>
      <c r="LFM210" s="46"/>
      <c r="LFN210" s="46"/>
      <c r="LFO210" s="46"/>
      <c r="LFP210" s="46"/>
      <c r="LFQ210" s="46"/>
      <c r="LFR210" s="46"/>
      <c r="LFS210" s="46"/>
      <c r="LFT210" s="46"/>
      <c r="LFU210" s="46"/>
      <c r="LFV210" s="46"/>
      <c r="LFW210" s="46"/>
      <c r="LFX210" s="46"/>
      <c r="LFY210" s="46"/>
      <c r="LFZ210" s="46"/>
      <c r="LGA210" s="46"/>
      <c r="LGB210" s="46"/>
      <c r="LGC210" s="46"/>
      <c r="LGD210" s="46"/>
      <c r="LGE210" s="46"/>
      <c r="LGF210" s="46"/>
      <c r="LGG210" s="46"/>
      <c r="LGH210" s="46"/>
      <c r="LGI210" s="46"/>
      <c r="LGJ210" s="46"/>
      <c r="LGK210" s="46"/>
      <c r="LGL210" s="46"/>
      <c r="LGM210" s="46"/>
      <c r="LGN210" s="46"/>
      <c r="LGO210" s="46"/>
      <c r="LGP210" s="46"/>
      <c r="LGQ210" s="46"/>
      <c r="LGR210" s="46"/>
      <c r="LGS210" s="46"/>
      <c r="LGT210" s="46"/>
      <c r="LGU210" s="46"/>
      <c r="LGV210" s="46"/>
      <c r="LGW210" s="46"/>
      <c r="LGX210" s="46"/>
      <c r="LGY210" s="46"/>
      <c r="LGZ210" s="46"/>
      <c r="LHA210" s="46"/>
      <c r="LHB210" s="46"/>
      <c r="LHC210" s="46"/>
      <c r="LHD210" s="46"/>
      <c r="LHE210" s="46"/>
      <c r="LHF210" s="46"/>
      <c r="LHG210" s="46"/>
      <c r="LHH210" s="46"/>
      <c r="LHI210" s="46"/>
      <c r="LHJ210" s="46"/>
      <c r="LHK210" s="46"/>
      <c r="LHL210" s="46"/>
      <c r="LHM210" s="46"/>
      <c r="LHN210" s="46"/>
      <c r="LHO210" s="46"/>
      <c r="LHP210" s="46"/>
      <c r="LHQ210" s="46"/>
      <c r="LHR210" s="46"/>
      <c r="LHS210" s="46"/>
      <c r="LHT210" s="46"/>
      <c r="LHU210" s="46"/>
      <c r="LHV210" s="46"/>
      <c r="LHW210" s="46"/>
      <c r="LHX210" s="46"/>
      <c r="LHY210" s="46"/>
      <c r="LHZ210" s="46"/>
      <c r="LIA210" s="46"/>
      <c r="LIB210" s="46"/>
      <c r="LIC210" s="46"/>
      <c r="LID210" s="46"/>
      <c r="LIE210" s="46"/>
      <c r="LIF210" s="46"/>
      <c r="LIG210" s="46"/>
      <c r="LIH210" s="46"/>
      <c r="LII210" s="46"/>
      <c r="LIJ210" s="46"/>
      <c r="LIK210" s="46"/>
      <c r="LIL210" s="46"/>
      <c r="LIM210" s="46"/>
      <c r="LIN210" s="46"/>
      <c r="LIO210" s="46"/>
      <c r="LIP210" s="46"/>
      <c r="LIQ210" s="46"/>
      <c r="LIR210" s="46"/>
      <c r="LIS210" s="46"/>
      <c r="LIT210" s="46"/>
      <c r="LIU210" s="46"/>
      <c r="LIV210" s="46"/>
      <c r="LIW210" s="46"/>
      <c r="LIX210" s="46"/>
      <c r="LIY210" s="46"/>
      <c r="LIZ210" s="46"/>
      <c r="LJA210" s="46"/>
      <c r="LJB210" s="46"/>
      <c r="LJC210" s="46"/>
      <c r="LJD210" s="46"/>
      <c r="LJE210" s="46"/>
      <c r="LJF210" s="46"/>
      <c r="LJG210" s="46"/>
      <c r="LJH210" s="46"/>
      <c r="LJI210" s="46"/>
      <c r="LJJ210" s="46"/>
      <c r="LJK210" s="46"/>
      <c r="LJL210" s="46"/>
      <c r="LJM210" s="46"/>
      <c r="LJN210" s="46"/>
      <c r="LJO210" s="46"/>
      <c r="LJP210" s="46"/>
      <c r="LJQ210" s="46"/>
      <c r="LJR210" s="46"/>
      <c r="LJS210" s="46"/>
      <c r="LJT210" s="46"/>
      <c r="LJU210" s="46"/>
      <c r="LJV210" s="46"/>
      <c r="LJW210" s="46"/>
      <c r="LJX210" s="46"/>
      <c r="LJY210" s="46"/>
      <c r="LJZ210" s="46"/>
      <c r="LKA210" s="46"/>
      <c r="LKB210" s="46"/>
      <c r="LKC210" s="46"/>
      <c r="LKD210" s="46"/>
      <c r="LKE210" s="46"/>
      <c r="LKF210" s="46"/>
      <c r="LKG210" s="46"/>
      <c r="LKH210" s="46"/>
      <c r="LKI210" s="46"/>
      <c r="LKJ210" s="46"/>
      <c r="LKK210" s="46"/>
      <c r="LKL210" s="46"/>
      <c r="LKM210" s="46"/>
      <c r="LKN210" s="46"/>
      <c r="LKO210" s="46"/>
      <c r="LKP210" s="46"/>
      <c r="LKQ210" s="46"/>
      <c r="LKR210" s="46"/>
      <c r="LKS210" s="46"/>
      <c r="LKT210" s="46"/>
      <c r="LKU210" s="46"/>
      <c r="LKV210" s="46"/>
      <c r="LKW210" s="46"/>
      <c r="LKX210" s="46"/>
      <c r="LKY210" s="46"/>
      <c r="LKZ210" s="46"/>
      <c r="LLA210" s="46"/>
      <c r="LLB210" s="46"/>
      <c r="LLC210" s="46"/>
      <c r="LLD210" s="46"/>
      <c r="LLE210" s="46"/>
      <c r="LLF210" s="46"/>
      <c r="LLG210" s="46"/>
      <c r="LLH210" s="46"/>
      <c r="LLI210" s="46"/>
      <c r="LLJ210" s="46"/>
      <c r="LLK210" s="46"/>
      <c r="LLL210" s="46"/>
      <c r="LLM210" s="46"/>
      <c r="LLN210" s="46"/>
      <c r="LLO210" s="46"/>
      <c r="LLP210" s="46"/>
      <c r="LLQ210" s="46"/>
      <c r="LLR210" s="46"/>
      <c r="LLS210" s="46"/>
      <c r="LLT210" s="46"/>
      <c r="LLU210" s="46"/>
      <c r="LLV210" s="46"/>
      <c r="LLW210" s="46"/>
      <c r="LLX210" s="46"/>
      <c r="LLY210" s="46"/>
      <c r="LLZ210" s="46"/>
      <c r="LMA210" s="46"/>
      <c r="LMB210" s="46"/>
      <c r="LMC210" s="46"/>
      <c r="LMD210" s="46"/>
      <c r="LME210" s="46"/>
      <c r="LMF210" s="46"/>
      <c r="LMG210" s="46"/>
      <c r="LMH210" s="46"/>
      <c r="LMI210" s="46"/>
      <c r="LMJ210" s="46"/>
      <c r="LMK210" s="46"/>
      <c r="LML210" s="46"/>
      <c r="LMM210" s="46"/>
      <c r="LMN210" s="46"/>
      <c r="LMO210" s="46"/>
      <c r="LMP210" s="46"/>
      <c r="LMQ210" s="46"/>
      <c r="LMR210" s="46"/>
      <c r="LMS210" s="46"/>
      <c r="LMT210" s="46"/>
      <c r="LMU210" s="46"/>
      <c r="LMV210" s="46"/>
      <c r="LMW210" s="46"/>
      <c r="LMX210" s="46"/>
      <c r="LMY210" s="46"/>
      <c r="LMZ210" s="46"/>
      <c r="LNA210" s="46"/>
      <c r="LNB210" s="46"/>
      <c r="LNC210" s="46"/>
      <c r="LND210" s="46"/>
      <c r="LNE210" s="46"/>
      <c r="LNF210" s="46"/>
      <c r="LNG210" s="46"/>
      <c r="LNH210" s="46"/>
      <c r="LNI210" s="46"/>
      <c r="LNJ210" s="46"/>
      <c r="LNK210" s="46"/>
      <c r="LNL210" s="46"/>
      <c r="LNM210" s="46"/>
      <c r="LNN210" s="46"/>
      <c r="LNO210" s="46"/>
      <c r="LNP210" s="46"/>
      <c r="LNQ210" s="46"/>
      <c r="LNR210" s="46"/>
      <c r="LNS210" s="46"/>
      <c r="LNT210" s="46"/>
      <c r="LNU210" s="46"/>
      <c r="LNV210" s="46"/>
      <c r="LNW210" s="46"/>
      <c r="LNX210" s="46"/>
      <c r="LNY210" s="46"/>
      <c r="LNZ210" s="46"/>
      <c r="LOA210" s="46"/>
      <c r="LOB210" s="46"/>
      <c r="LOC210" s="46"/>
      <c r="LOD210" s="46"/>
      <c r="LOE210" s="46"/>
      <c r="LOF210" s="46"/>
      <c r="LOG210" s="46"/>
      <c r="LOH210" s="46"/>
      <c r="LOI210" s="46"/>
      <c r="LOJ210" s="46"/>
      <c r="LOK210" s="46"/>
      <c r="LOL210" s="46"/>
      <c r="LOM210" s="46"/>
      <c r="LON210" s="46"/>
      <c r="LOO210" s="46"/>
      <c r="LOP210" s="46"/>
      <c r="LOQ210" s="46"/>
      <c r="LOR210" s="46"/>
      <c r="LOS210" s="46"/>
      <c r="LOT210" s="46"/>
      <c r="LOU210" s="46"/>
      <c r="LOV210" s="46"/>
      <c r="LOW210" s="46"/>
      <c r="LOX210" s="46"/>
      <c r="LOY210" s="46"/>
      <c r="LOZ210" s="46"/>
      <c r="LPA210" s="46"/>
      <c r="LPB210" s="46"/>
      <c r="LPC210" s="46"/>
      <c r="LPD210" s="46"/>
      <c r="LPE210" s="46"/>
      <c r="LPF210" s="46"/>
      <c r="LPG210" s="46"/>
      <c r="LPH210" s="46"/>
      <c r="LPI210" s="46"/>
      <c r="LPJ210" s="46"/>
      <c r="LPK210" s="46"/>
      <c r="LPL210" s="46"/>
      <c r="LPM210" s="46"/>
      <c r="LPN210" s="46"/>
      <c r="LPO210" s="46"/>
      <c r="LPP210" s="46"/>
      <c r="LPQ210" s="46"/>
      <c r="LPR210" s="46"/>
      <c r="LPS210" s="46"/>
      <c r="LPT210" s="46"/>
      <c r="LPU210" s="46"/>
      <c r="LPV210" s="46"/>
      <c r="LPW210" s="46"/>
      <c r="LPX210" s="46"/>
      <c r="LPY210" s="46"/>
      <c r="LPZ210" s="46"/>
      <c r="LQA210" s="46"/>
      <c r="LQB210" s="46"/>
      <c r="LQC210" s="46"/>
      <c r="LQD210" s="46"/>
      <c r="LQE210" s="46"/>
      <c r="LQF210" s="46"/>
      <c r="LQG210" s="46"/>
      <c r="LQH210" s="46"/>
      <c r="LQI210" s="46"/>
      <c r="LQJ210" s="46"/>
      <c r="LQK210" s="46"/>
      <c r="LQL210" s="46"/>
      <c r="LQM210" s="46"/>
      <c r="LQN210" s="46"/>
      <c r="LQO210" s="46"/>
      <c r="LQP210" s="46"/>
      <c r="LQQ210" s="46"/>
      <c r="LQR210" s="46"/>
      <c r="LQS210" s="46"/>
      <c r="LQT210" s="46"/>
      <c r="LQU210" s="46"/>
      <c r="LQV210" s="46"/>
      <c r="LQW210" s="46"/>
      <c r="LQX210" s="46"/>
      <c r="LQY210" s="46"/>
      <c r="LQZ210" s="46"/>
      <c r="LRA210" s="46"/>
      <c r="LRB210" s="46"/>
      <c r="LRC210" s="46"/>
      <c r="LRD210" s="46"/>
      <c r="LRE210" s="46"/>
      <c r="LRF210" s="46"/>
      <c r="LRG210" s="46"/>
      <c r="LRH210" s="46"/>
      <c r="LRI210" s="46"/>
      <c r="LRJ210" s="46"/>
      <c r="LRK210" s="46"/>
      <c r="LRL210" s="46"/>
      <c r="LRM210" s="46"/>
      <c r="LRN210" s="46"/>
      <c r="LRO210" s="46"/>
      <c r="LRP210" s="46"/>
      <c r="LRQ210" s="46"/>
      <c r="LRR210" s="46"/>
      <c r="LRS210" s="46"/>
      <c r="LRT210" s="46"/>
      <c r="LRU210" s="46"/>
      <c r="LRV210" s="46"/>
      <c r="LRW210" s="46"/>
      <c r="LRX210" s="46"/>
      <c r="LRY210" s="46"/>
      <c r="LRZ210" s="46"/>
      <c r="LSA210" s="46"/>
      <c r="LSB210" s="46"/>
      <c r="LSC210" s="46"/>
      <c r="LSD210" s="46"/>
      <c r="LSE210" s="46"/>
      <c r="LSF210" s="46"/>
      <c r="LSG210" s="46"/>
      <c r="LSH210" s="46"/>
      <c r="LSI210" s="46"/>
      <c r="LSJ210" s="46"/>
      <c r="LSK210" s="46"/>
      <c r="LSL210" s="46"/>
      <c r="LSM210" s="46"/>
      <c r="LSN210" s="46"/>
      <c r="LSO210" s="46"/>
      <c r="LSP210" s="46"/>
      <c r="LSQ210" s="46"/>
      <c r="LSR210" s="46"/>
      <c r="LSS210" s="46"/>
      <c r="LST210" s="46"/>
      <c r="LSU210" s="46"/>
      <c r="LSV210" s="46"/>
      <c r="LSW210" s="46"/>
      <c r="LSX210" s="46"/>
      <c r="LSY210" s="46"/>
      <c r="LSZ210" s="46"/>
      <c r="LTA210" s="46"/>
      <c r="LTB210" s="46"/>
      <c r="LTC210" s="46"/>
      <c r="LTD210" s="46"/>
      <c r="LTE210" s="46"/>
      <c r="LTF210" s="46"/>
      <c r="LTG210" s="46"/>
      <c r="LTH210" s="46"/>
      <c r="LTI210" s="46"/>
      <c r="LTJ210" s="46"/>
      <c r="LTK210" s="46"/>
      <c r="LTL210" s="46"/>
      <c r="LTM210" s="46"/>
      <c r="LTN210" s="46"/>
      <c r="LTO210" s="46"/>
      <c r="LTP210" s="46"/>
      <c r="LTQ210" s="46"/>
      <c r="LTR210" s="46"/>
      <c r="LTS210" s="46"/>
      <c r="LTT210" s="46"/>
      <c r="LTU210" s="46"/>
      <c r="LTV210" s="46"/>
      <c r="LTW210" s="46"/>
      <c r="LTX210" s="46"/>
      <c r="LTY210" s="46"/>
      <c r="LTZ210" s="46"/>
      <c r="LUA210" s="46"/>
      <c r="LUB210" s="46"/>
      <c r="LUC210" s="46"/>
      <c r="LUD210" s="46"/>
      <c r="LUE210" s="46"/>
      <c r="LUF210" s="46"/>
      <c r="LUG210" s="46"/>
      <c r="LUH210" s="46"/>
      <c r="LUI210" s="46"/>
      <c r="LUJ210" s="46"/>
      <c r="LUK210" s="46"/>
      <c r="LUL210" s="46"/>
      <c r="LUM210" s="46"/>
      <c r="LUN210" s="46"/>
      <c r="LUO210" s="46"/>
      <c r="LUP210" s="46"/>
      <c r="LUQ210" s="46"/>
      <c r="LUR210" s="46"/>
      <c r="LUS210" s="46"/>
      <c r="LUT210" s="46"/>
      <c r="LUU210" s="46"/>
      <c r="LUV210" s="46"/>
      <c r="LUW210" s="46"/>
      <c r="LUX210" s="46"/>
      <c r="LUY210" s="46"/>
      <c r="LUZ210" s="46"/>
      <c r="LVA210" s="46"/>
      <c r="LVB210" s="46"/>
      <c r="LVC210" s="46"/>
      <c r="LVD210" s="46"/>
      <c r="LVE210" s="46"/>
      <c r="LVF210" s="46"/>
      <c r="LVG210" s="46"/>
      <c r="LVH210" s="46"/>
      <c r="LVI210" s="46"/>
      <c r="LVJ210" s="46"/>
      <c r="LVK210" s="46"/>
      <c r="LVL210" s="46"/>
      <c r="LVM210" s="46"/>
      <c r="LVN210" s="46"/>
      <c r="LVO210" s="46"/>
      <c r="LVP210" s="46"/>
      <c r="LVQ210" s="46"/>
      <c r="LVR210" s="46"/>
      <c r="LVS210" s="46"/>
      <c r="LVT210" s="46"/>
      <c r="LVU210" s="46"/>
      <c r="LVV210" s="46"/>
      <c r="LVW210" s="46"/>
      <c r="LVX210" s="46"/>
      <c r="LVY210" s="46"/>
      <c r="LVZ210" s="46"/>
      <c r="LWA210" s="46"/>
      <c r="LWB210" s="46"/>
      <c r="LWC210" s="46"/>
      <c r="LWD210" s="46"/>
      <c r="LWE210" s="46"/>
      <c r="LWF210" s="46"/>
      <c r="LWG210" s="46"/>
      <c r="LWH210" s="46"/>
      <c r="LWI210" s="46"/>
      <c r="LWJ210" s="46"/>
      <c r="LWK210" s="46"/>
      <c r="LWL210" s="46"/>
      <c r="LWM210" s="46"/>
      <c r="LWN210" s="46"/>
      <c r="LWO210" s="46"/>
      <c r="LWP210" s="46"/>
      <c r="LWQ210" s="46"/>
      <c r="LWR210" s="46"/>
      <c r="LWS210" s="46"/>
      <c r="LWT210" s="46"/>
      <c r="LWU210" s="46"/>
      <c r="LWV210" s="46"/>
      <c r="LWW210" s="46"/>
      <c r="LWX210" s="46"/>
      <c r="LWY210" s="46"/>
      <c r="LWZ210" s="46"/>
      <c r="LXA210" s="46"/>
      <c r="LXB210" s="46"/>
      <c r="LXC210" s="46"/>
      <c r="LXD210" s="46"/>
      <c r="LXE210" s="46"/>
      <c r="LXF210" s="46"/>
      <c r="LXG210" s="46"/>
      <c r="LXH210" s="46"/>
      <c r="LXI210" s="46"/>
      <c r="LXJ210" s="46"/>
      <c r="LXK210" s="46"/>
      <c r="LXL210" s="46"/>
      <c r="LXM210" s="46"/>
      <c r="LXN210" s="46"/>
      <c r="LXO210" s="46"/>
      <c r="LXP210" s="46"/>
      <c r="LXQ210" s="46"/>
      <c r="LXR210" s="46"/>
      <c r="LXS210" s="46"/>
      <c r="LXT210" s="46"/>
      <c r="LXU210" s="46"/>
      <c r="LXV210" s="46"/>
      <c r="LXW210" s="46"/>
      <c r="LXX210" s="46"/>
      <c r="LXY210" s="46"/>
      <c r="LXZ210" s="46"/>
      <c r="LYA210" s="46"/>
      <c r="LYB210" s="46"/>
      <c r="LYC210" s="46"/>
      <c r="LYD210" s="46"/>
      <c r="LYE210" s="46"/>
      <c r="LYF210" s="46"/>
      <c r="LYG210" s="46"/>
      <c r="LYH210" s="46"/>
      <c r="LYI210" s="46"/>
      <c r="LYJ210" s="46"/>
      <c r="LYK210" s="46"/>
      <c r="LYL210" s="46"/>
      <c r="LYM210" s="46"/>
      <c r="LYN210" s="46"/>
      <c r="LYO210" s="46"/>
      <c r="LYP210" s="46"/>
      <c r="LYQ210" s="46"/>
      <c r="LYR210" s="46"/>
      <c r="LYS210" s="46"/>
      <c r="LYT210" s="46"/>
      <c r="LYU210" s="46"/>
      <c r="LYV210" s="46"/>
      <c r="LYW210" s="46"/>
      <c r="LYX210" s="46"/>
      <c r="LYY210" s="46"/>
      <c r="LYZ210" s="46"/>
      <c r="LZA210" s="46"/>
      <c r="LZB210" s="46"/>
      <c r="LZC210" s="46"/>
      <c r="LZD210" s="46"/>
      <c r="LZE210" s="46"/>
      <c r="LZF210" s="46"/>
      <c r="LZG210" s="46"/>
      <c r="LZH210" s="46"/>
      <c r="LZI210" s="46"/>
      <c r="LZJ210" s="46"/>
      <c r="LZK210" s="46"/>
      <c r="LZL210" s="46"/>
      <c r="LZM210" s="46"/>
      <c r="LZN210" s="46"/>
      <c r="LZO210" s="46"/>
      <c r="LZP210" s="46"/>
      <c r="LZQ210" s="46"/>
      <c r="LZR210" s="46"/>
      <c r="LZS210" s="46"/>
      <c r="LZT210" s="46"/>
      <c r="LZU210" s="46"/>
      <c r="LZV210" s="46"/>
      <c r="LZW210" s="46"/>
      <c r="LZX210" s="46"/>
      <c r="LZY210" s="46"/>
      <c r="LZZ210" s="46"/>
      <c r="MAA210" s="46"/>
      <c r="MAB210" s="46"/>
      <c r="MAC210" s="46"/>
      <c r="MAD210" s="46"/>
      <c r="MAE210" s="46"/>
      <c r="MAF210" s="46"/>
      <c r="MAG210" s="46"/>
      <c r="MAH210" s="46"/>
      <c r="MAI210" s="46"/>
      <c r="MAJ210" s="46"/>
      <c r="MAK210" s="46"/>
      <c r="MAL210" s="46"/>
      <c r="MAM210" s="46"/>
      <c r="MAN210" s="46"/>
      <c r="MAO210" s="46"/>
      <c r="MAP210" s="46"/>
      <c r="MAQ210" s="46"/>
      <c r="MAR210" s="46"/>
      <c r="MAS210" s="46"/>
      <c r="MAT210" s="46"/>
      <c r="MAU210" s="46"/>
      <c r="MAV210" s="46"/>
      <c r="MAW210" s="46"/>
      <c r="MAX210" s="46"/>
      <c r="MAY210" s="46"/>
      <c r="MAZ210" s="46"/>
      <c r="MBA210" s="46"/>
      <c r="MBB210" s="46"/>
      <c r="MBC210" s="46"/>
      <c r="MBD210" s="46"/>
      <c r="MBE210" s="46"/>
      <c r="MBF210" s="46"/>
      <c r="MBG210" s="46"/>
      <c r="MBH210" s="46"/>
      <c r="MBI210" s="46"/>
      <c r="MBJ210" s="46"/>
      <c r="MBK210" s="46"/>
      <c r="MBL210" s="46"/>
      <c r="MBM210" s="46"/>
      <c r="MBN210" s="46"/>
      <c r="MBO210" s="46"/>
      <c r="MBP210" s="46"/>
      <c r="MBQ210" s="46"/>
      <c r="MBR210" s="46"/>
      <c r="MBS210" s="46"/>
      <c r="MBT210" s="46"/>
      <c r="MBU210" s="46"/>
      <c r="MBV210" s="46"/>
      <c r="MBW210" s="46"/>
      <c r="MBX210" s="46"/>
      <c r="MBY210" s="46"/>
      <c r="MBZ210" s="46"/>
      <c r="MCA210" s="46"/>
      <c r="MCB210" s="46"/>
      <c r="MCC210" s="46"/>
      <c r="MCD210" s="46"/>
      <c r="MCE210" s="46"/>
      <c r="MCF210" s="46"/>
      <c r="MCG210" s="46"/>
      <c r="MCH210" s="46"/>
      <c r="MCI210" s="46"/>
      <c r="MCJ210" s="46"/>
      <c r="MCK210" s="46"/>
      <c r="MCL210" s="46"/>
      <c r="MCM210" s="46"/>
      <c r="MCN210" s="46"/>
      <c r="MCO210" s="46"/>
      <c r="MCP210" s="46"/>
      <c r="MCQ210" s="46"/>
      <c r="MCR210" s="46"/>
      <c r="MCS210" s="46"/>
      <c r="MCT210" s="46"/>
      <c r="MCU210" s="46"/>
      <c r="MCV210" s="46"/>
      <c r="MCW210" s="46"/>
      <c r="MCX210" s="46"/>
      <c r="MCY210" s="46"/>
      <c r="MCZ210" s="46"/>
      <c r="MDA210" s="46"/>
      <c r="MDB210" s="46"/>
      <c r="MDC210" s="46"/>
      <c r="MDD210" s="46"/>
      <c r="MDE210" s="46"/>
      <c r="MDF210" s="46"/>
      <c r="MDG210" s="46"/>
      <c r="MDH210" s="46"/>
      <c r="MDI210" s="46"/>
      <c r="MDJ210" s="46"/>
      <c r="MDK210" s="46"/>
      <c r="MDL210" s="46"/>
      <c r="MDM210" s="46"/>
      <c r="MDN210" s="46"/>
      <c r="MDO210" s="46"/>
      <c r="MDP210" s="46"/>
      <c r="MDQ210" s="46"/>
      <c r="MDR210" s="46"/>
      <c r="MDS210" s="46"/>
      <c r="MDT210" s="46"/>
      <c r="MDU210" s="46"/>
      <c r="MDV210" s="46"/>
      <c r="MDW210" s="46"/>
      <c r="MDX210" s="46"/>
      <c r="MDY210" s="46"/>
      <c r="MDZ210" s="46"/>
      <c r="MEA210" s="46"/>
      <c r="MEB210" s="46"/>
      <c r="MEC210" s="46"/>
      <c r="MED210" s="46"/>
      <c r="MEE210" s="46"/>
      <c r="MEF210" s="46"/>
      <c r="MEG210" s="46"/>
      <c r="MEH210" s="46"/>
      <c r="MEI210" s="46"/>
      <c r="MEJ210" s="46"/>
      <c r="MEK210" s="46"/>
      <c r="MEL210" s="46"/>
      <c r="MEM210" s="46"/>
      <c r="MEN210" s="46"/>
      <c r="MEO210" s="46"/>
      <c r="MEP210" s="46"/>
      <c r="MEQ210" s="46"/>
      <c r="MER210" s="46"/>
      <c r="MES210" s="46"/>
      <c r="MET210" s="46"/>
      <c r="MEU210" s="46"/>
      <c r="MEV210" s="46"/>
      <c r="MEW210" s="46"/>
      <c r="MEX210" s="46"/>
      <c r="MEY210" s="46"/>
      <c r="MEZ210" s="46"/>
      <c r="MFA210" s="46"/>
      <c r="MFB210" s="46"/>
      <c r="MFC210" s="46"/>
      <c r="MFD210" s="46"/>
      <c r="MFE210" s="46"/>
      <c r="MFF210" s="46"/>
      <c r="MFG210" s="46"/>
      <c r="MFH210" s="46"/>
      <c r="MFI210" s="46"/>
      <c r="MFJ210" s="46"/>
      <c r="MFK210" s="46"/>
      <c r="MFL210" s="46"/>
      <c r="MFM210" s="46"/>
      <c r="MFN210" s="46"/>
      <c r="MFO210" s="46"/>
      <c r="MFP210" s="46"/>
      <c r="MFQ210" s="46"/>
      <c r="MFR210" s="46"/>
      <c r="MFS210" s="46"/>
      <c r="MFT210" s="46"/>
      <c r="MFU210" s="46"/>
      <c r="MFV210" s="46"/>
      <c r="MFW210" s="46"/>
      <c r="MFX210" s="46"/>
      <c r="MFY210" s="46"/>
      <c r="MFZ210" s="46"/>
      <c r="MGA210" s="46"/>
      <c r="MGB210" s="46"/>
      <c r="MGC210" s="46"/>
      <c r="MGD210" s="46"/>
      <c r="MGE210" s="46"/>
      <c r="MGF210" s="46"/>
      <c r="MGG210" s="46"/>
      <c r="MGH210" s="46"/>
      <c r="MGI210" s="46"/>
      <c r="MGJ210" s="46"/>
      <c r="MGK210" s="46"/>
      <c r="MGL210" s="46"/>
      <c r="MGM210" s="46"/>
      <c r="MGN210" s="46"/>
      <c r="MGO210" s="46"/>
      <c r="MGP210" s="46"/>
      <c r="MGQ210" s="46"/>
      <c r="MGR210" s="46"/>
      <c r="MGS210" s="46"/>
      <c r="MGT210" s="46"/>
      <c r="MGU210" s="46"/>
      <c r="MGV210" s="46"/>
      <c r="MGW210" s="46"/>
      <c r="MGX210" s="46"/>
      <c r="MGY210" s="46"/>
      <c r="MGZ210" s="46"/>
      <c r="MHA210" s="46"/>
      <c r="MHB210" s="46"/>
      <c r="MHC210" s="46"/>
      <c r="MHD210" s="46"/>
      <c r="MHE210" s="46"/>
      <c r="MHF210" s="46"/>
      <c r="MHG210" s="46"/>
      <c r="MHH210" s="46"/>
      <c r="MHI210" s="46"/>
      <c r="MHJ210" s="46"/>
      <c r="MHK210" s="46"/>
      <c r="MHL210" s="46"/>
      <c r="MHM210" s="46"/>
      <c r="MHN210" s="46"/>
      <c r="MHO210" s="46"/>
      <c r="MHP210" s="46"/>
      <c r="MHQ210" s="46"/>
      <c r="MHR210" s="46"/>
      <c r="MHS210" s="46"/>
      <c r="MHT210" s="46"/>
      <c r="MHU210" s="46"/>
      <c r="MHV210" s="46"/>
      <c r="MHW210" s="46"/>
      <c r="MHX210" s="46"/>
      <c r="MHY210" s="46"/>
      <c r="MHZ210" s="46"/>
      <c r="MIA210" s="46"/>
      <c r="MIB210" s="46"/>
      <c r="MIC210" s="46"/>
      <c r="MID210" s="46"/>
      <c r="MIE210" s="46"/>
      <c r="MIF210" s="46"/>
      <c r="MIG210" s="46"/>
      <c r="MIH210" s="46"/>
      <c r="MII210" s="46"/>
      <c r="MIJ210" s="46"/>
      <c r="MIK210" s="46"/>
      <c r="MIL210" s="46"/>
      <c r="MIM210" s="46"/>
      <c r="MIN210" s="46"/>
      <c r="MIO210" s="46"/>
      <c r="MIP210" s="46"/>
      <c r="MIQ210" s="46"/>
      <c r="MIR210" s="46"/>
      <c r="MIS210" s="46"/>
      <c r="MIT210" s="46"/>
      <c r="MIU210" s="46"/>
      <c r="MIV210" s="46"/>
      <c r="MIW210" s="46"/>
      <c r="MIX210" s="46"/>
      <c r="MIY210" s="46"/>
      <c r="MIZ210" s="46"/>
      <c r="MJA210" s="46"/>
      <c r="MJB210" s="46"/>
      <c r="MJC210" s="46"/>
      <c r="MJD210" s="46"/>
      <c r="MJE210" s="46"/>
      <c r="MJF210" s="46"/>
      <c r="MJG210" s="46"/>
      <c r="MJH210" s="46"/>
      <c r="MJI210" s="46"/>
      <c r="MJJ210" s="46"/>
      <c r="MJK210" s="46"/>
      <c r="MJL210" s="46"/>
      <c r="MJM210" s="46"/>
      <c r="MJN210" s="46"/>
      <c r="MJO210" s="46"/>
      <c r="MJP210" s="46"/>
      <c r="MJQ210" s="46"/>
      <c r="MJR210" s="46"/>
      <c r="MJS210" s="46"/>
      <c r="MJT210" s="46"/>
      <c r="MJU210" s="46"/>
      <c r="MJV210" s="46"/>
      <c r="MJW210" s="46"/>
      <c r="MJX210" s="46"/>
      <c r="MJY210" s="46"/>
      <c r="MJZ210" s="46"/>
      <c r="MKA210" s="46"/>
      <c r="MKB210" s="46"/>
      <c r="MKC210" s="46"/>
      <c r="MKD210" s="46"/>
      <c r="MKE210" s="46"/>
      <c r="MKF210" s="46"/>
      <c r="MKG210" s="46"/>
      <c r="MKH210" s="46"/>
      <c r="MKI210" s="46"/>
      <c r="MKJ210" s="46"/>
      <c r="MKK210" s="46"/>
      <c r="MKL210" s="46"/>
      <c r="MKM210" s="46"/>
      <c r="MKN210" s="46"/>
      <c r="MKO210" s="46"/>
      <c r="MKP210" s="46"/>
      <c r="MKQ210" s="46"/>
      <c r="MKR210" s="46"/>
      <c r="MKS210" s="46"/>
      <c r="MKT210" s="46"/>
      <c r="MKU210" s="46"/>
      <c r="MKV210" s="46"/>
      <c r="MKW210" s="46"/>
      <c r="MKX210" s="46"/>
      <c r="MKY210" s="46"/>
      <c r="MKZ210" s="46"/>
      <c r="MLA210" s="46"/>
      <c r="MLB210" s="46"/>
      <c r="MLC210" s="46"/>
      <c r="MLD210" s="46"/>
      <c r="MLE210" s="46"/>
      <c r="MLF210" s="46"/>
      <c r="MLG210" s="46"/>
      <c r="MLH210" s="46"/>
      <c r="MLI210" s="46"/>
      <c r="MLJ210" s="46"/>
      <c r="MLK210" s="46"/>
      <c r="MLL210" s="46"/>
      <c r="MLM210" s="46"/>
      <c r="MLN210" s="46"/>
      <c r="MLO210" s="46"/>
      <c r="MLP210" s="46"/>
      <c r="MLQ210" s="46"/>
      <c r="MLR210" s="46"/>
      <c r="MLS210" s="46"/>
      <c r="MLT210" s="46"/>
      <c r="MLU210" s="46"/>
      <c r="MLV210" s="46"/>
      <c r="MLW210" s="46"/>
      <c r="MLX210" s="46"/>
      <c r="MLY210" s="46"/>
      <c r="MLZ210" s="46"/>
      <c r="MMA210" s="46"/>
      <c r="MMB210" s="46"/>
      <c r="MMC210" s="46"/>
      <c r="MMD210" s="46"/>
      <c r="MME210" s="46"/>
      <c r="MMF210" s="46"/>
      <c r="MMG210" s="46"/>
      <c r="MMH210" s="46"/>
      <c r="MMI210" s="46"/>
      <c r="MMJ210" s="46"/>
      <c r="MMK210" s="46"/>
      <c r="MML210" s="46"/>
      <c r="MMM210" s="46"/>
      <c r="MMN210" s="46"/>
      <c r="MMO210" s="46"/>
      <c r="MMP210" s="46"/>
      <c r="MMQ210" s="46"/>
      <c r="MMR210" s="46"/>
      <c r="MMS210" s="46"/>
      <c r="MMT210" s="46"/>
      <c r="MMU210" s="46"/>
      <c r="MMV210" s="46"/>
      <c r="MMW210" s="46"/>
      <c r="MMX210" s="46"/>
      <c r="MMY210" s="46"/>
      <c r="MMZ210" s="46"/>
      <c r="MNA210" s="46"/>
      <c r="MNB210" s="46"/>
      <c r="MNC210" s="46"/>
      <c r="MND210" s="46"/>
      <c r="MNE210" s="46"/>
      <c r="MNF210" s="46"/>
      <c r="MNG210" s="46"/>
      <c r="MNH210" s="46"/>
      <c r="MNI210" s="46"/>
      <c r="MNJ210" s="46"/>
      <c r="MNK210" s="46"/>
      <c r="MNL210" s="46"/>
      <c r="MNM210" s="46"/>
      <c r="MNN210" s="46"/>
      <c r="MNO210" s="46"/>
      <c r="MNP210" s="46"/>
      <c r="MNQ210" s="46"/>
      <c r="MNR210" s="46"/>
      <c r="MNS210" s="46"/>
      <c r="MNT210" s="46"/>
      <c r="MNU210" s="46"/>
      <c r="MNV210" s="46"/>
      <c r="MNW210" s="46"/>
      <c r="MNX210" s="46"/>
      <c r="MNY210" s="46"/>
      <c r="MNZ210" s="46"/>
      <c r="MOA210" s="46"/>
      <c r="MOB210" s="46"/>
      <c r="MOC210" s="46"/>
      <c r="MOD210" s="46"/>
      <c r="MOE210" s="46"/>
      <c r="MOF210" s="46"/>
      <c r="MOG210" s="46"/>
      <c r="MOH210" s="46"/>
      <c r="MOI210" s="46"/>
      <c r="MOJ210" s="46"/>
      <c r="MOK210" s="46"/>
      <c r="MOL210" s="46"/>
      <c r="MOM210" s="46"/>
      <c r="MON210" s="46"/>
      <c r="MOO210" s="46"/>
      <c r="MOP210" s="46"/>
      <c r="MOQ210" s="46"/>
      <c r="MOR210" s="46"/>
      <c r="MOS210" s="46"/>
      <c r="MOT210" s="46"/>
      <c r="MOU210" s="46"/>
      <c r="MOV210" s="46"/>
      <c r="MOW210" s="46"/>
      <c r="MOX210" s="46"/>
      <c r="MOY210" s="46"/>
      <c r="MOZ210" s="46"/>
      <c r="MPA210" s="46"/>
      <c r="MPB210" s="46"/>
      <c r="MPC210" s="46"/>
      <c r="MPD210" s="46"/>
      <c r="MPE210" s="46"/>
      <c r="MPF210" s="46"/>
      <c r="MPG210" s="46"/>
      <c r="MPH210" s="46"/>
      <c r="MPI210" s="46"/>
      <c r="MPJ210" s="46"/>
      <c r="MPK210" s="46"/>
      <c r="MPL210" s="46"/>
      <c r="MPM210" s="46"/>
      <c r="MPN210" s="46"/>
      <c r="MPO210" s="46"/>
      <c r="MPP210" s="46"/>
      <c r="MPQ210" s="46"/>
      <c r="MPR210" s="46"/>
      <c r="MPS210" s="46"/>
      <c r="MPT210" s="46"/>
      <c r="MPU210" s="46"/>
      <c r="MPV210" s="46"/>
      <c r="MPW210" s="46"/>
      <c r="MPX210" s="46"/>
      <c r="MPY210" s="46"/>
      <c r="MPZ210" s="46"/>
      <c r="MQA210" s="46"/>
      <c r="MQB210" s="46"/>
      <c r="MQC210" s="46"/>
      <c r="MQD210" s="46"/>
      <c r="MQE210" s="46"/>
      <c r="MQF210" s="46"/>
      <c r="MQG210" s="46"/>
      <c r="MQH210" s="46"/>
      <c r="MQI210" s="46"/>
      <c r="MQJ210" s="46"/>
      <c r="MQK210" s="46"/>
      <c r="MQL210" s="46"/>
      <c r="MQM210" s="46"/>
      <c r="MQN210" s="46"/>
      <c r="MQO210" s="46"/>
      <c r="MQP210" s="46"/>
      <c r="MQQ210" s="46"/>
      <c r="MQR210" s="46"/>
      <c r="MQS210" s="46"/>
      <c r="MQT210" s="46"/>
      <c r="MQU210" s="46"/>
      <c r="MQV210" s="46"/>
      <c r="MQW210" s="46"/>
      <c r="MQX210" s="46"/>
      <c r="MQY210" s="46"/>
      <c r="MQZ210" s="46"/>
      <c r="MRA210" s="46"/>
      <c r="MRB210" s="46"/>
      <c r="MRC210" s="46"/>
      <c r="MRD210" s="46"/>
      <c r="MRE210" s="46"/>
      <c r="MRF210" s="46"/>
      <c r="MRG210" s="46"/>
      <c r="MRH210" s="46"/>
      <c r="MRI210" s="46"/>
      <c r="MRJ210" s="46"/>
      <c r="MRK210" s="46"/>
      <c r="MRL210" s="46"/>
      <c r="MRM210" s="46"/>
      <c r="MRN210" s="46"/>
      <c r="MRO210" s="46"/>
      <c r="MRP210" s="46"/>
      <c r="MRQ210" s="46"/>
      <c r="MRR210" s="46"/>
      <c r="MRS210" s="46"/>
      <c r="MRT210" s="46"/>
      <c r="MRU210" s="46"/>
      <c r="MRV210" s="46"/>
      <c r="MRW210" s="46"/>
      <c r="MRX210" s="46"/>
      <c r="MRY210" s="46"/>
      <c r="MRZ210" s="46"/>
      <c r="MSA210" s="46"/>
      <c r="MSB210" s="46"/>
      <c r="MSC210" s="46"/>
      <c r="MSD210" s="46"/>
      <c r="MSE210" s="46"/>
      <c r="MSF210" s="46"/>
      <c r="MSG210" s="46"/>
      <c r="MSH210" s="46"/>
      <c r="MSI210" s="46"/>
      <c r="MSJ210" s="46"/>
      <c r="MSK210" s="46"/>
      <c r="MSL210" s="46"/>
      <c r="MSM210" s="46"/>
      <c r="MSN210" s="46"/>
      <c r="MSO210" s="46"/>
      <c r="MSP210" s="46"/>
      <c r="MSQ210" s="46"/>
      <c r="MSR210" s="46"/>
      <c r="MSS210" s="46"/>
      <c r="MST210" s="46"/>
      <c r="MSU210" s="46"/>
      <c r="MSV210" s="46"/>
      <c r="MSW210" s="46"/>
      <c r="MSX210" s="46"/>
      <c r="MSY210" s="46"/>
      <c r="MSZ210" s="46"/>
      <c r="MTA210" s="46"/>
      <c r="MTB210" s="46"/>
      <c r="MTC210" s="46"/>
      <c r="MTD210" s="46"/>
      <c r="MTE210" s="46"/>
      <c r="MTF210" s="46"/>
      <c r="MTG210" s="46"/>
      <c r="MTH210" s="46"/>
      <c r="MTI210" s="46"/>
      <c r="MTJ210" s="46"/>
      <c r="MTK210" s="46"/>
      <c r="MTL210" s="46"/>
      <c r="MTM210" s="46"/>
      <c r="MTN210" s="46"/>
      <c r="MTO210" s="46"/>
      <c r="MTP210" s="46"/>
      <c r="MTQ210" s="46"/>
      <c r="MTR210" s="46"/>
      <c r="MTS210" s="46"/>
      <c r="MTT210" s="46"/>
      <c r="MTU210" s="46"/>
      <c r="MTV210" s="46"/>
      <c r="MTW210" s="46"/>
      <c r="MTX210" s="46"/>
      <c r="MTY210" s="46"/>
      <c r="MTZ210" s="46"/>
      <c r="MUA210" s="46"/>
      <c r="MUB210" s="46"/>
      <c r="MUC210" s="46"/>
      <c r="MUD210" s="46"/>
      <c r="MUE210" s="46"/>
      <c r="MUF210" s="46"/>
      <c r="MUG210" s="46"/>
      <c r="MUH210" s="46"/>
      <c r="MUI210" s="46"/>
      <c r="MUJ210" s="46"/>
      <c r="MUK210" s="46"/>
      <c r="MUL210" s="46"/>
      <c r="MUM210" s="46"/>
      <c r="MUN210" s="46"/>
      <c r="MUO210" s="46"/>
      <c r="MUP210" s="46"/>
      <c r="MUQ210" s="46"/>
      <c r="MUR210" s="46"/>
      <c r="MUS210" s="46"/>
      <c r="MUT210" s="46"/>
      <c r="MUU210" s="46"/>
      <c r="MUV210" s="46"/>
      <c r="MUW210" s="46"/>
      <c r="MUX210" s="46"/>
      <c r="MUY210" s="46"/>
      <c r="MUZ210" s="46"/>
      <c r="MVA210" s="46"/>
      <c r="MVB210" s="46"/>
      <c r="MVC210" s="46"/>
      <c r="MVD210" s="46"/>
      <c r="MVE210" s="46"/>
      <c r="MVF210" s="46"/>
      <c r="MVG210" s="46"/>
      <c r="MVH210" s="46"/>
      <c r="MVI210" s="46"/>
      <c r="MVJ210" s="46"/>
      <c r="MVK210" s="46"/>
      <c r="MVL210" s="46"/>
      <c r="MVM210" s="46"/>
      <c r="MVN210" s="46"/>
      <c r="MVO210" s="46"/>
      <c r="MVP210" s="46"/>
      <c r="MVQ210" s="46"/>
      <c r="MVR210" s="46"/>
      <c r="MVS210" s="46"/>
      <c r="MVT210" s="46"/>
      <c r="MVU210" s="46"/>
      <c r="MVV210" s="46"/>
      <c r="MVW210" s="46"/>
      <c r="MVX210" s="46"/>
      <c r="MVY210" s="46"/>
      <c r="MVZ210" s="46"/>
      <c r="MWA210" s="46"/>
      <c r="MWB210" s="46"/>
      <c r="MWC210" s="46"/>
      <c r="MWD210" s="46"/>
      <c r="MWE210" s="46"/>
      <c r="MWF210" s="46"/>
      <c r="MWG210" s="46"/>
      <c r="MWH210" s="46"/>
      <c r="MWI210" s="46"/>
      <c r="MWJ210" s="46"/>
      <c r="MWK210" s="46"/>
      <c r="MWL210" s="46"/>
      <c r="MWM210" s="46"/>
      <c r="MWN210" s="46"/>
      <c r="MWO210" s="46"/>
      <c r="MWP210" s="46"/>
      <c r="MWQ210" s="46"/>
      <c r="MWR210" s="46"/>
      <c r="MWS210" s="46"/>
      <c r="MWT210" s="46"/>
      <c r="MWU210" s="46"/>
      <c r="MWV210" s="46"/>
      <c r="MWW210" s="46"/>
      <c r="MWX210" s="46"/>
      <c r="MWY210" s="46"/>
      <c r="MWZ210" s="46"/>
      <c r="MXA210" s="46"/>
      <c r="MXB210" s="46"/>
      <c r="MXC210" s="46"/>
      <c r="MXD210" s="46"/>
      <c r="MXE210" s="46"/>
      <c r="MXF210" s="46"/>
      <c r="MXG210" s="46"/>
      <c r="MXH210" s="46"/>
      <c r="MXI210" s="46"/>
      <c r="MXJ210" s="46"/>
      <c r="MXK210" s="46"/>
      <c r="MXL210" s="46"/>
      <c r="MXM210" s="46"/>
      <c r="MXN210" s="46"/>
      <c r="MXO210" s="46"/>
      <c r="MXP210" s="46"/>
      <c r="MXQ210" s="46"/>
      <c r="MXR210" s="46"/>
      <c r="MXS210" s="46"/>
      <c r="MXT210" s="46"/>
      <c r="MXU210" s="46"/>
      <c r="MXV210" s="46"/>
      <c r="MXW210" s="46"/>
      <c r="MXX210" s="46"/>
      <c r="MXY210" s="46"/>
      <c r="MXZ210" s="46"/>
      <c r="MYA210" s="46"/>
      <c r="MYB210" s="46"/>
      <c r="MYC210" s="46"/>
      <c r="MYD210" s="46"/>
      <c r="MYE210" s="46"/>
      <c r="MYF210" s="46"/>
      <c r="MYG210" s="46"/>
      <c r="MYH210" s="46"/>
      <c r="MYI210" s="46"/>
      <c r="MYJ210" s="46"/>
      <c r="MYK210" s="46"/>
      <c r="MYL210" s="46"/>
      <c r="MYM210" s="46"/>
      <c r="MYN210" s="46"/>
      <c r="MYO210" s="46"/>
      <c r="MYP210" s="46"/>
      <c r="MYQ210" s="46"/>
      <c r="MYR210" s="46"/>
      <c r="MYS210" s="46"/>
      <c r="MYT210" s="46"/>
      <c r="MYU210" s="46"/>
      <c r="MYV210" s="46"/>
      <c r="MYW210" s="46"/>
      <c r="MYX210" s="46"/>
      <c r="MYY210" s="46"/>
      <c r="MYZ210" s="46"/>
      <c r="MZA210" s="46"/>
      <c r="MZB210" s="46"/>
      <c r="MZC210" s="46"/>
      <c r="MZD210" s="46"/>
      <c r="MZE210" s="46"/>
      <c r="MZF210" s="46"/>
      <c r="MZG210" s="46"/>
      <c r="MZH210" s="46"/>
      <c r="MZI210" s="46"/>
      <c r="MZJ210" s="46"/>
      <c r="MZK210" s="46"/>
      <c r="MZL210" s="46"/>
      <c r="MZM210" s="46"/>
      <c r="MZN210" s="46"/>
      <c r="MZO210" s="46"/>
      <c r="MZP210" s="46"/>
      <c r="MZQ210" s="46"/>
      <c r="MZR210" s="46"/>
      <c r="MZS210" s="46"/>
      <c r="MZT210" s="46"/>
      <c r="MZU210" s="46"/>
      <c r="MZV210" s="46"/>
      <c r="MZW210" s="46"/>
      <c r="MZX210" s="46"/>
      <c r="MZY210" s="46"/>
      <c r="MZZ210" s="46"/>
      <c r="NAA210" s="46"/>
      <c r="NAB210" s="46"/>
      <c r="NAC210" s="46"/>
      <c r="NAD210" s="46"/>
      <c r="NAE210" s="46"/>
      <c r="NAF210" s="46"/>
      <c r="NAG210" s="46"/>
      <c r="NAH210" s="46"/>
      <c r="NAI210" s="46"/>
      <c r="NAJ210" s="46"/>
      <c r="NAK210" s="46"/>
      <c r="NAL210" s="46"/>
      <c r="NAM210" s="46"/>
      <c r="NAN210" s="46"/>
      <c r="NAO210" s="46"/>
      <c r="NAP210" s="46"/>
      <c r="NAQ210" s="46"/>
      <c r="NAR210" s="46"/>
      <c r="NAS210" s="46"/>
      <c r="NAT210" s="46"/>
      <c r="NAU210" s="46"/>
      <c r="NAV210" s="46"/>
      <c r="NAW210" s="46"/>
      <c r="NAX210" s="46"/>
      <c r="NAY210" s="46"/>
      <c r="NAZ210" s="46"/>
      <c r="NBA210" s="46"/>
      <c r="NBB210" s="46"/>
      <c r="NBC210" s="46"/>
      <c r="NBD210" s="46"/>
      <c r="NBE210" s="46"/>
      <c r="NBF210" s="46"/>
      <c r="NBG210" s="46"/>
      <c r="NBH210" s="46"/>
      <c r="NBI210" s="46"/>
      <c r="NBJ210" s="46"/>
      <c r="NBK210" s="46"/>
      <c r="NBL210" s="46"/>
      <c r="NBM210" s="46"/>
      <c r="NBN210" s="46"/>
      <c r="NBO210" s="46"/>
      <c r="NBP210" s="46"/>
      <c r="NBQ210" s="46"/>
      <c r="NBR210" s="46"/>
      <c r="NBS210" s="46"/>
      <c r="NBT210" s="46"/>
      <c r="NBU210" s="46"/>
      <c r="NBV210" s="46"/>
      <c r="NBW210" s="46"/>
      <c r="NBX210" s="46"/>
      <c r="NBY210" s="46"/>
      <c r="NBZ210" s="46"/>
      <c r="NCA210" s="46"/>
      <c r="NCB210" s="46"/>
      <c r="NCC210" s="46"/>
      <c r="NCD210" s="46"/>
      <c r="NCE210" s="46"/>
      <c r="NCF210" s="46"/>
      <c r="NCG210" s="46"/>
      <c r="NCH210" s="46"/>
      <c r="NCI210" s="46"/>
      <c r="NCJ210" s="46"/>
      <c r="NCK210" s="46"/>
      <c r="NCL210" s="46"/>
      <c r="NCM210" s="46"/>
      <c r="NCN210" s="46"/>
      <c r="NCO210" s="46"/>
      <c r="NCP210" s="46"/>
      <c r="NCQ210" s="46"/>
      <c r="NCR210" s="46"/>
      <c r="NCS210" s="46"/>
      <c r="NCT210" s="46"/>
      <c r="NCU210" s="46"/>
      <c r="NCV210" s="46"/>
      <c r="NCW210" s="46"/>
      <c r="NCX210" s="46"/>
      <c r="NCY210" s="46"/>
      <c r="NCZ210" s="46"/>
      <c r="NDA210" s="46"/>
      <c r="NDB210" s="46"/>
      <c r="NDC210" s="46"/>
      <c r="NDD210" s="46"/>
      <c r="NDE210" s="46"/>
      <c r="NDF210" s="46"/>
      <c r="NDG210" s="46"/>
      <c r="NDH210" s="46"/>
      <c r="NDI210" s="46"/>
      <c r="NDJ210" s="46"/>
      <c r="NDK210" s="46"/>
      <c r="NDL210" s="46"/>
      <c r="NDM210" s="46"/>
      <c r="NDN210" s="46"/>
      <c r="NDO210" s="46"/>
      <c r="NDP210" s="46"/>
      <c r="NDQ210" s="46"/>
      <c r="NDR210" s="46"/>
      <c r="NDS210" s="46"/>
      <c r="NDT210" s="46"/>
      <c r="NDU210" s="46"/>
      <c r="NDV210" s="46"/>
      <c r="NDW210" s="46"/>
      <c r="NDX210" s="46"/>
      <c r="NDY210" s="46"/>
      <c r="NDZ210" s="46"/>
      <c r="NEA210" s="46"/>
      <c r="NEB210" s="46"/>
      <c r="NEC210" s="46"/>
      <c r="NED210" s="46"/>
      <c r="NEE210" s="46"/>
      <c r="NEF210" s="46"/>
      <c r="NEG210" s="46"/>
      <c r="NEH210" s="46"/>
      <c r="NEI210" s="46"/>
      <c r="NEJ210" s="46"/>
      <c r="NEK210" s="46"/>
      <c r="NEL210" s="46"/>
      <c r="NEM210" s="46"/>
      <c r="NEN210" s="46"/>
      <c r="NEO210" s="46"/>
      <c r="NEP210" s="46"/>
      <c r="NEQ210" s="46"/>
      <c r="NER210" s="46"/>
      <c r="NES210" s="46"/>
      <c r="NET210" s="46"/>
      <c r="NEU210" s="46"/>
      <c r="NEV210" s="46"/>
      <c r="NEW210" s="46"/>
      <c r="NEX210" s="46"/>
      <c r="NEY210" s="46"/>
      <c r="NEZ210" s="46"/>
      <c r="NFA210" s="46"/>
      <c r="NFB210" s="46"/>
      <c r="NFC210" s="46"/>
      <c r="NFD210" s="46"/>
      <c r="NFE210" s="46"/>
      <c r="NFF210" s="46"/>
      <c r="NFG210" s="46"/>
      <c r="NFH210" s="46"/>
      <c r="NFI210" s="46"/>
      <c r="NFJ210" s="46"/>
      <c r="NFK210" s="46"/>
      <c r="NFL210" s="46"/>
      <c r="NFM210" s="46"/>
      <c r="NFN210" s="46"/>
      <c r="NFO210" s="46"/>
      <c r="NFP210" s="46"/>
      <c r="NFQ210" s="46"/>
      <c r="NFR210" s="46"/>
      <c r="NFS210" s="46"/>
      <c r="NFT210" s="46"/>
      <c r="NFU210" s="46"/>
      <c r="NFV210" s="46"/>
      <c r="NFW210" s="46"/>
      <c r="NFX210" s="46"/>
      <c r="NFY210" s="46"/>
      <c r="NFZ210" s="46"/>
      <c r="NGA210" s="46"/>
      <c r="NGB210" s="46"/>
      <c r="NGC210" s="46"/>
      <c r="NGD210" s="46"/>
      <c r="NGE210" s="46"/>
      <c r="NGF210" s="46"/>
      <c r="NGG210" s="46"/>
      <c r="NGH210" s="46"/>
      <c r="NGI210" s="46"/>
      <c r="NGJ210" s="46"/>
      <c r="NGK210" s="46"/>
      <c r="NGL210" s="46"/>
      <c r="NGM210" s="46"/>
      <c r="NGN210" s="46"/>
      <c r="NGO210" s="46"/>
      <c r="NGP210" s="46"/>
      <c r="NGQ210" s="46"/>
      <c r="NGR210" s="46"/>
      <c r="NGS210" s="46"/>
      <c r="NGT210" s="46"/>
      <c r="NGU210" s="46"/>
      <c r="NGV210" s="46"/>
      <c r="NGW210" s="46"/>
      <c r="NGX210" s="46"/>
      <c r="NGY210" s="46"/>
      <c r="NGZ210" s="46"/>
      <c r="NHA210" s="46"/>
      <c r="NHB210" s="46"/>
      <c r="NHC210" s="46"/>
      <c r="NHD210" s="46"/>
      <c r="NHE210" s="46"/>
      <c r="NHF210" s="46"/>
      <c r="NHG210" s="46"/>
      <c r="NHH210" s="46"/>
      <c r="NHI210" s="46"/>
      <c r="NHJ210" s="46"/>
      <c r="NHK210" s="46"/>
      <c r="NHL210" s="46"/>
      <c r="NHM210" s="46"/>
      <c r="NHN210" s="46"/>
      <c r="NHO210" s="46"/>
      <c r="NHP210" s="46"/>
      <c r="NHQ210" s="46"/>
      <c r="NHR210" s="46"/>
      <c r="NHS210" s="46"/>
      <c r="NHT210" s="46"/>
      <c r="NHU210" s="46"/>
      <c r="NHV210" s="46"/>
      <c r="NHW210" s="46"/>
      <c r="NHX210" s="46"/>
      <c r="NHY210" s="46"/>
      <c r="NHZ210" s="46"/>
      <c r="NIA210" s="46"/>
      <c r="NIB210" s="46"/>
      <c r="NIC210" s="46"/>
      <c r="NID210" s="46"/>
      <c r="NIE210" s="46"/>
      <c r="NIF210" s="46"/>
      <c r="NIG210" s="46"/>
      <c r="NIH210" s="46"/>
      <c r="NII210" s="46"/>
      <c r="NIJ210" s="46"/>
      <c r="NIK210" s="46"/>
      <c r="NIL210" s="46"/>
      <c r="NIM210" s="46"/>
      <c r="NIN210" s="46"/>
      <c r="NIO210" s="46"/>
      <c r="NIP210" s="46"/>
      <c r="NIQ210" s="46"/>
      <c r="NIR210" s="46"/>
      <c r="NIS210" s="46"/>
      <c r="NIT210" s="46"/>
      <c r="NIU210" s="46"/>
      <c r="NIV210" s="46"/>
      <c r="NIW210" s="46"/>
      <c r="NIX210" s="46"/>
      <c r="NIY210" s="46"/>
      <c r="NIZ210" s="46"/>
      <c r="NJA210" s="46"/>
      <c r="NJB210" s="46"/>
      <c r="NJC210" s="46"/>
      <c r="NJD210" s="46"/>
      <c r="NJE210" s="46"/>
      <c r="NJF210" s="46"/>
      <c r="NJG210" s="46"/>
      <c r="NJH210" s="46"/>
      <c r="NJI210" s="46"/>
      <c r="NJJ210" s="46"/>
      <c r="NJK210" s="46"/>
      <c r="NJL210" s="46"/>
      <c r="NJM210" s="46"/>
      <c r="NJN210" s="46"/>
      <c r="NJO210" s="46"/>
      <c r="NJP210" s="46"/>
      <c r="NJQ210" s="46"/>
      <c r="NJR210" s="46"/>
      <c r="NJS210" s="46"/>
      <c r="NJT210" s="46"/>
      <c r="NJU210" s="46"/>
      <c r="NJV210" s="46"/>
      <c r="NJW210" s="46"/>
      <c r="NJX210" s="46"/>
      <c r="NJY210" s="46"/>
      <c r="NJZ210" s="46"/>
      <c r="NKA210" s="46"/>
      <c r="NKB210" s="46"/>
      <c r="NKC210" s="46"/>
      <c r="NKD210" s="46"/>
      <c r="NKE210" s="46"/>
      <c r="NKF210" s="46"/>
      <c r="NKG210" s="46"/>
      <c r="NKH210" s="46"/>
      <c r="NKI210" s="46"/>
      <c r="NKJ210" s="46"/>
      <c r="NKK210" s="46"/>
      <c r="NKL210" s="46"/>
      <c r="NKM210" s="46"/>
      <c r="NKN210" s="46"/>
      <c r="NKO210" s="46"/>
      <c r="NKP210" s="46"/>
      <c r="NKQ210" s="46"/>
      <c r="NKR210" s="46"/>
      <c r="NKS210" s="46"/>
      <c r="NKT210" s="46"/>
      <c r="NKU210" s="46"/>
      <c r="NKV210" s="46"/>
      <c r="NKW210" s="46"/>
      <c r="NKX210" s="46"/>
      <c r="NKY210" s="46"/>
      <c r="NKZ210" s="46"/>
      <c r="NLA210" s="46"/>
      <c r="NLB210" s="46"/>
      <c r="NLC210" s="46"/>
      <c r="NLD210" s="46"/>
      <c r="NLE210" s="46"/>
      <c r="NLF210" s="46"/>
      <c r="NLG210" s="46"/>
      <c r="NLH210" s="46"/>
      <c r="NLI210" s="46"/>
      <c r="NLJ210" s="46"/>
      <c r="NLK210" s="46"/>
      <c r="NLL210" s="46"/>
      <c r="NLM210" s="46"/>
      <c r="NLN210" s="46"/>
      <c r="NLO210" s="46"/>
      <c r="NLP210" s="46"/>
      <c r="NLQ210" s="46"/>
      <c r="NLR210" s="46"/>
      <c r="NLS210" s="46"/>
      <c r="NLT210" s="46"/>
      <c r="NLU210" s="46"/>
      <c r="NLV210" s="46"/>
      <c r="NLW210" s="46"/>
      <c r="NLX210" s="46"/>
      <c r="NLY210" s="46"/>
      <c r="NLZ210" s="46"/>
      <c r="NMA210" s="46"/>
      <c r="NMB210" s="46"/>
      <c r="NMC210" s="46"/>
      <c r="NMD210" s="46"/>
      <c r="NME210" s="46"/>
      <c r="NMF210" s="46"/>
      <c r="NMG210" s="46"/>
      <c r="NMH210" s="46"/>
      <c r="NMI210" s="46"/>
      <c r="NMJ210" s="46"/>
      <c r="NMK210" s="46"/>
      <c r="NML210" s="46"/>
      <c r="NMM210" s="46"/>
      <c r="NMN210" s="46"/>
      <c r="NMO210" s="46"/>
      <c r="NMP210" s="46"/>
      <c r="NMQ210" s="46"/>
      <c r="NMR210" s="46"/>
      <c r="NMS210" s="46"/>
      <c r="NMT210" s="46"/>
      <c r="NMU210" s="46"/>
      <c r="NMV210" s="46"/>
      <c r="NMW210" s="46"/>
      <c r="NMX210" s="46"/>
      <c r="NMY210" s="46"/>
      <c r="NMZ210" s="46"/>
      <c r="NNA210" s="46"/>
      <c r="NNB210" s="46"/>
      <c r="NNC210" s="46"/>
      <c r="NND210" s="46"/>
      <c r="NNE210" s="46"/>
      <c r="NNF210" s="46"/>
      <c r="NNG210" s="46"/>
      <c r="NNH210" s="46"/>
      <c r="NNI210" s="46"/>
      <c r="NNJ210" s="46"/>
      <c r="NNK210" s="46"/>
      <c r="NNL210" s="46"/>
      <c r="NNM210" s="46"/>
      <c r="NNN210" s="46"/>
      <c r="NNO210" s="46"/>
      <c r="NNP210" s="46"/>
      <c r="NNQ210" s="46"/>
      <c r="NNR210" s="46"/>
      <c r="NNS210" s="46"/>
      <c r="NNT210" s="46"/>
      <c r="NNU210" s="46"/>
      <c r="NNV210" s="46"/>
      <c r="NNW210" s="46"/>
      <c r="NNX210" s="46"/>
      <c r="NNY210" s="46"/>
      <c r="NNZ210" s="46"/>
      <c r="NOA210" s="46"/>
      <c r="NOB210" s="46"/>
      <c r="NOC210" s="46"/>
      <c r="NOD210" s="46"/>
      <c r="NOE210" s="46"/>
      <c r="NOF210" s="46"/>
      <c r="NOG210" s="46"/>
      <c r="NOH210" s="46"/>
      <c r="NOI210" s="46"/>
      <c r="NOJ210" s="46"/>
      <c r="NOK210" s="46"/>
      <c r="NOL210" s="46"/>
      <c r="NOM210" s="46"/>
      <c r="NON210" s="46"/>
      <c r="NOO210" s="46"/>
      <c r="NOP210" s="46"/>
      <c r="NOQ210" s="46"/>
      <c r="NOR210" s="46"/>
      <c r="NOS210" s="46"/>
      <c r="NOT210" s="46"/>
      <c r="NOU210" s="46"/>
      <c r="NOV210" s="46"/>
      <c r="NOW210" s="46"/>
      <c r="NOX210" s="46"/>
      <c r="NOY210" s="46"/>
      <c r="NOZ210" s="46"/>
      <c r="NPA210" s="46"/>
      <c r="NPB210" s="46"/>
      <c r="NPC210" s="46"/>
      <c r="NPD210" s="46"/>
      <c r="NPE210" s="46"/>
      <c r="NPF210" s="46"/>
      <c r="NPG210" s="46"/>
      <c r="NPH210" s="46"/>
      <c r="NPI210" s="46"/>
      <c r="NPJ210" s="46"/>
      <c r="NPK210" s="46"/>
      <c r="NPL210" s="46"/>
      <c r="NPM210" s="46"/>
      <c r="NPN210" s="46"/>
      <c r="NPO210" s="46"/>
      <c r="NPP210" s="46"/>
      <c r="NPQ210" s="46"/>
      <c r="NPR210" s="46"/>
      <c r="NPS210" s="46"/>
      <c r="NPT210" s="46"/>
      <c r="NPU210" s="46"/>
      <c r="NPV210" s="46"/>
      <c r="NPW210" s="46"/>
      <c r="NPX210" s="46"/>
      <c r="NPY210" s="46"/>
      <c r="NPZ210" s="46"/>
      <c r="NQA210" s="46"/>
      <c r="NQB210" s="46"/>
      <c r="NQC210" s="46"/>
      <c r="NQD210" s="46"/>
      <c r="NQE210" s="46"/>
      <c r="NQF210" s="46"/>
      <c r="NQG210" s="46"/>
      <c r="NQH210" s="46"/>
      <c r="NQI210" s="46"/>
      <c r="NQJ210" s="46"/>
      <c r="NQK210" s="46"/>
      <c r="NQL210" s="46"/>
      <c r="NQM210" s="46"/>
      <c r="NQN210" s="46"/>
      <c r="NQO210" s="46"/>
      <c r="NQP210" s="46"/>
      <c r="NQQ210" s="46"/>
      <c r="NQR210" s="46"/>
      <c r="NQS210" s="46"/>
      <c r="NQT210" s="46"/>
      <c r="NQU210" s="46"/>
      <c r="NQV210" s="46"/>
      <c r="NQW210" s="46"/>
      <c r="NQX210" s="46"/>
      <c r="NQY210" s="46"/>
      <c r="NQZ210" s="46"/>
      <c r="NRA210" s="46"/>
      <c r="NRB210" s="46"/>
      <c r="NRC210" s="46"/>
      <c r="NRD210" s="46"/>
      <c r="NRE210" s="46"/>
      <c r="NRF210" s="46"/>
      <c r="NRG210" s="46"/>
      <c r="NRH210" s="46"/>
      <c r="NRI210" s="46"/>
      <c r="NRJ210" s="46"/>
      <c r="NRK210" s="46"/>
      <c r="NRL210" s="46"/>
      <c r="NRM210" s="46"/>
      <c r="NRN210" s="46"/>
      <c r="NRO210" s="46"/>
      <c r="NRP210" s="46"/>
      <c r="NRQ210" s="46"/>
      <c r="NRR210" s="46"/>
      <c r="NRS210" s="46"/>
      <c r="NRT210" s="46"/>
      <c r="NRU210" s="46"/>
      <c r="NRV210" s="46"/>
      <c r="NRW210" s="46"/>
      <c r="NRX210" s="46"/>
      <c r="NRY210" s="46"/>
      <c r="NRZ210" s="46"/>
      <c r="NSA210" s="46"/>
      <c r="NSB210" s="46"/>
      <c r="NSC210" s="46"/>
      <c r="NSD210" s="46"/>
      <c r="NSE210" s="46"/>
      <c r="NSF210" s="46"/>
      <c r="NSG210" s="46"/>
      <c r="NSH210" s="46"/>
      <c r="NSI210" s="46"/>
      <c r="NSJ210" s="46"/>
      <c r="NSK210" s="46"/>
      <c r="NSL210" s="46"/>
      <c r="NSM210" s="46"/>
      <c r="NSN210" s="46"/>
      <c r="NSO210" s="46"/>
      <c r="NSP210" s="46"/>
      <c r="NSQ210" s="46"/>
      <c r="NSR210" s="46"/>
      <c r="NSS210" s="46"/>
      <c r="NST210" s="46"/>
      <c r="NSU210" s="46"/>
      <c r="NSV210" s="46"/>
      <c r="NSW210" s="46"/>
      <c r="NSX210" s="46"/>
      <c r="NSY210" s="46"/>
      <c r="NSZ210" s="46"/>
      <c r="NTA210" s="46"/>
      <c r="NTB210" s="46"/>
      <c r="NTC210" s="46"/>
      <c r="NTD210" s="46"/>
      <c r="NTE210" s="46"/>
      <c r="NTF210" s="46"/>
      <c r="NTG210" s="46"/>
      <c r="NTH210" s="46"/>
      <c r="NTI210" s="46"/>
      <c r="NTJ210" s="46"/>
      <c r="NTK210" s="46"/>
      <c r="NTL210" s="46"/>
      <c r="NTM210" s="46"/>
      <c r="NTN210" s="46"/>
      <c r="NTO210" s="46"/>
      <c r="NTP210" s="46"/>
      <c r="NTQ210" s="46"/>
      <c r="NTR210" s="46"/>
      <c r="NTS210" s="46"/>
      <c r="NTT210" s="46"/>
      <c r="NTU210" s="46"/>
      <c r="NTV210" s="46"/>
      <c r="NTW210" s="46"/>
      <c r="NTX210" s="46"/>
      <c r="NTY210" s="46"/>
      <c r="NTZ210" s="46"/>
      <c r="NUA210" s="46"/>
      <c r="NUB210" s="46"/>
      <c r="NUC210" s="46"/>
      <c r="NUD210" s="46"/>
      <c r="NUE210" s="46"/>
      <c r="NUF210" s="46"/>
      <c r="NUG210" s="46"/>
      <c r="NUH210" s="46"/>
      <c r="NUI210" s="46"/>
      <c r="NUJ210" s="46"/>
      <c r="NUK210" s="46"/>
      <c r="NUL210" s="46"/>
      <c r="NUM210" s="46"/>
      <c r="NUN210" s="46"/>
      <c r="NUO210" s="46"/>
      <c r="NUP210" s="46"/>
      <c r="NUQ210" s="46"/>
      <c r="NUR210" s="46"/>
      <c r="NUS210" s="46"/>
      <c r="NUT210" s="46"/>
      <c r="NUU210" s="46"/>
      <c r="NUV210" s="46"/>
      <c r="NUW210" s="46"/>
      <c r="NUX210" s="46"/>
      <c r="NUY210" s="46"/>
      <c r="NUZ210" s="46"/>
      <c r="NVA210" s="46"/>
      <c r="NVB210" s="46"/>
      <c r="NVC210" s="46"/>
      <c r="NVD210" s="46"/>
      <c r="NVE210" s="46"/>
      <c r="NVF210" s="46"/>
      <c r="NVG210" s="46"/>
      <c r="NVH210" s="46"/>
      <c r="NVI210" s="46"/>
      <c r="NVJ210" s="46"/>
      <c r="NVK210" s="46"/>
      <c r="NVL210" s="46"/>
      <c r="NVM210" s="46"/>
      <c r="NVN210" s="46"/>
      <c r="NVO210" s="46"/>
      <c r="NVP210" s="46"/>
      <c r="NVQ210" s="46"/>
      <c r="NVR210" s="46"/>
      <c r="NVS210" s="46"/>
      <c r="NVT210" s="46"/>
      <c r="NVU210" s="46"/>
      <c r="NVV210" s="46"/>
      <c r="NVW210" s="46"/>
      <c r="NVX210" s="46"/>
      <c r="NVY210" s="46"/>
      <c r="NVZ210" s="46"/>
      <c r="NWA210" s="46"/>
      <c r="NWB210" s="46"/>
      <c r="NWC210" s="46"/>
      <c r="NWD210" s="46"/>
      <c r="NWE210" s="46"/>
      <c r="NWF210" s="46"/>
      <c r="NWG210" s="46"/>
      <c r="NWH210" s="46"/>
      <c r="NWI210" s="46"/>
      <c r="NWJ210" s="46"/>
      <c r="NWK210" s="46"/>
      <c r="NWL210" s="46"/>
      <c r="NWM210" s="46"/>
      <c r="NWN210" s="46"/>
      <c r="NWO210" s="46"/>
      <c r="NWP210" s="46"/>
      <c r="NWQ210" s="46"/>
      <c r="NWR210" s="46"/>
      <c r="NWS210" s="46"/>
      <c r="NWT210" s="46"/>
      <c r="NWU210" s="46"/>
      <c r="NWV210" s="46"/>
      <c r="NWW210" s="46"/>
      <c r="NWX210" s="46"/>
      <c r="NWY210" s="46"/>
      <c r="NWZ210" s="46"/>
      <c r="NXA210" s="46"/>
      <c r="NXB210" s="46"/>
      <c r="NXC210" s="46"/>
      <c r="NXD210" s="46"/>
      <c r="NXE210" s="46"/>
      <c r="NXF210" s="46"/>
      <c r="NXG210" s="46"/>
      <c r="NXH210" s="46"/>
      <c r="NXI210" s="46"/>
      <c r="NXJ210" s="46"/>
      <c r="NXK210" s="46"/>
      <c r="NXL210" s="46"/>
      <c r="NXM210" s="46"/>
      <c r="NXN210" s="46"/>
      <c r="NXO210" s="46"/>
      <c r="NXP210" s="46"/>
      <c r="NXQ210" s="46"/>
      <c r="NXR210" s="46"/>
      <c r="NXS210" s="46"/>
      <c r="NXT210" s="46"/>
      <c r="NXU210" s="46"/>
      <c r="NXV210" s="46"/>
      <c r="NXW210" s="46"/>
      <c r="NXX210" s="46"/>
      <c r="NXY210" s="46"/>
      <c r="NXZ210" s="46"/>
      <c r="NYA210" s="46"/>
      <c r="NYB210" s="46"/>
      <c r="NYC210" s="46"/>
      <c r="NYD210" s="46"/>
      <c r="NYE210" s="46"/>
      <c r="NYF210" s="46"/>
      <c r="NYG210" s="46"/>
      <c r="NYH210" s="46"/>
      <c r="NYI210" s="46"/>
      <c r="NYJ210" s="46"/>
      <c r="NYK210" s="46"/>
      <c r="NYL210" s="46"/>
      <c r="NYM210" s="46"/>
      <c r="NYN210" s="46"/>
      <c r="NYO210" s="46"/>
      <c r="NYP210" s="46"/>
      <c r="NYQ210" s="46"/>
      <c r="NYR210" s="46"/>
      <c r="NYS210" s="46"/>
      <c r="NYT210" s="46"/>
      <c r="NYU210" s="46"/>
      <c r="NYV210" s="46"/>
      <c r="NYW210" s="46"/>
      <c r="NYX210" s="46"/>
      <c r="NYY210" s="46"/>
      <c r="NYZ210" s="46"/>
      <c r="NZA210" s="46"/>
      <c r="NZB210" s="46"/>
      <c r="NZC210" s="46"/>
      <c r="NZD210" s="46"/>
      <c r="NZE210" s="46"/>
      <c r="NZF210" s="46"/>
      <c r="NZG210" s="46"/>
      <c r="NZH210" s="46"/>
      <c r="NZI210" s="46"/>
      <c r="NZJ210" s="46"/>
      <c r="NZK210" s="46"/>
      <c r="NZL210" s="46"/>
      <c r="NZM210" s="46"/>
      <c r="NZN210" s="46"/>
      <c r="NZO210" s="46"/>
      <c r="NZP210" s="46"/>
      <c r="NZQ210" s="46"/>
      <c r="NZR210" s="46"/>
      <c r="NZS210" s="46"/>
      <c r="NZT210" s="46"/>
      <c r="NZU210" s="46"/>
      <c r="NZV210" s="46"/>
      <c r="NZW210" s="46"/>
      <c r="NZX210" s="46"/>
      <c r="NZY210" s="46"/>
      <c r="NZZ210" s="46"/>
      <c r="OAA210" s="46"/>
      <c r="OAB210" s="46"/>
      <c r="OAC210" s="46"/>
      <c r="OAD210" s="46"/>
      <c r="OAE210" s="46"/>
      <c r="OAF210" s="46"/>
      <c r="OAG210" s="46"/>
      <c r="OAH210" s="46"/>
      <c r="OAI210" s="46"/>
      <c r="OAJ210" s="46"/>
      <c r="OAK210" s="46"/>
      <c r="OAL210" s="46"/>
      <c r="OAM210" s="46"/>
      <c r="OAN210" s="46"/>
      <c r="OAO210" s="46"/>
      <c r="OAP210" s="46"/>
      <c r="OAQ210" s="46"/>
      <c r="OAR210" s="46"/>
      <c r="OAS210" s="46"/>
      <c r="OAT210" s="46"/>
      <c r="OAU210" s="46"/>
      <c r="OAV210" s="46"/>
      <c r="OAW210" s="46"/>
      <c r="OAX210" s="46"/>
      <c r="OAY210" s="46"/>
      <c r="OAZ210" s="46"/>
      <c r="OBA210" s="46"/>
      <c r="OBB210" s="46"/>
      <c r="OBC210" s="46"/>
      <c r="OBD210" s="46"/>
      <c r="OBE210" s="46"/>
      <c r="OBF210" s="46"/>
      <c r="OBG210" s="46"/>
      <c r="OBH210" s="46"/>
      <c r="OBI210" s="46"/>
      <c r="OBJ210" s="46"/>
      <c r="OBK210" s="46"/>
      <c r="OBL210" s="46"/>
      <c r="OBM210" s="46"/>
      <c r="OBN210" s="46"/>
      <c r="OBO210" s="46"/>
      <c r="OBP210" s="46"/>
      <c r="OBQ210" s="46"/>
      <c r="OBR210" s="46"/>
      <c r="OBS210" s="46"/>
      <c r="OBT210" s="46"/>
      <c r="OBU210" s="46"/>
      <c r="OBV210" s="46"/>
      <c r="OBW210" s="46"/>
      <c r="OBX210" s="46"/>
      <c r="OBY210" s="46"/>
      <c r="OBZ210" s="46"/>
      <c r="OCA210" s="46"/>
      <c r="OCB210" s="46"/>
      <c r="OCC210" s="46"/>
      <c r="OCD210" s="46"/>
      <c r="OCE210" s="46"/>
      <c r="OCF210" s="46"/>
      <c r="OCG210" s="46"/>
      <c r="OCH210" s="46"/>
      <c r="OCI210" s="46"/>
      <c r="OCJ210" s="46"/>
      <c r="OCK210" s="46"/>
      <c r="OCL210" s="46"/>
      <c r="OCM210" s="46"/>
      <c r="OCN210" s="46"/>
      <c r="OCO210" s="46"/>
      <c r="OCP210" s="46"/>
      <c r="OCQ210" s="46"/>
      <c r="OCR210" s="46"/>
      <c r="OCS210" s="46"/>
      <c r="OCT210" s="46"/>
      <c r="OCU210" s="46"/>
      <c r="OCV210" s="46"/>
      <c r="OCW210" s="46"/>
      <c r="OCX210" s="46"/>
      <c r="OCY210" s="46"/>
      <c r="OCZ210" s="46"/>
      <c r="ODA210" s="46"/>
      <c r="ODB210" s="46"/>
      <c r="ODC210" s="46"/>
      <c r="ODD210" s="46"/>
      <c r="ODE210" s="46"/>
      <c r="ODF210" s="46"/>
      <c r="ODG210" s="46"/>
      <c r="ODH210" s="46"/>
      <c r="ODI210" s="46"/>
      <c r="ODJ210" s="46"/>
      <c r="ODK210" s="46"/>
      <c r="ODL210" s="46"/>
      <c r="ODM210" s="46"/>
      <c r="ODN210" s="46"/>
      <c r="ODO210" s="46"/>
      <c r="ODP210" s="46"/>
      <c r="ODQ210" s="46"/>
      <c r="ODR210" s="46"/>
      <c r="ODS210" s="46"/>
      <c r="ODT210" s="46"/>
      <c r="ODU210" s="46"/>
      <c r="ODV210" s="46"/>
      <c r="ODW210" s="46"/>
      <c r="ODX210" s="46"/>
      <c r="ODY210" s="46"/>
      <c r="ODZ210" s="46"/>
      <c r="OEA210" s="46"/>
      <c r="OEB210" s="46"/>
      <c r="OEC210" s="46"/>
      <c r="OED210" s="46"/>
      <c r="OEE210" s="46"/>
      <c r="OEF210" s="46"/>
      <c r="OEG210" s="46"/>
      <c r="OEH210" s="46"/>
      <c r="OEI210" s="46"/>
      <c r="OEJ210" s="46"/>
      <c r="OEK210" s="46"/>
      <c r="OEL210" s="46"/>
      <c r="OEM210" s="46"/>
      <c r="OEN210" s="46"/>
      <c r="OEO210" s="46"/>
      <c r="OEP210" s="46"/>
      <c r="OEQ210" s="46"/>
      <c r="OER210" s="46"/>
      <c r="OES210" s="46"/>
      <c r="OET210" s="46"/>
      <c r="OEU210" s="46"/>
      <c r="OEV210" s="46"/>
      <c r="OEW210" s="46"/>
      <c r="OEX210" s="46"/>
      <c r="OEY210" s="46"/>
      <c r="OEZ210" s="46"/>
      <c r="OFA210" s="46"/>
      <c r="OFB210" s="46"/>
      <c r="OFC210" s="46"/>
      <c r="OFD210" s="46"/>
      <c r="OFE210" s="46"/>
      <c r="OFF210" s="46"/>
      <c r="OFG210" s="46"/>
      <c r="OFH210" s="46"/>
      <c r="OFI210" s="46"/>
      <c r="OFJ210" s="46"/>
      <c r="OFK210" s="46"/>
      <c r="OFL210" s="46"/>
      <c r="OFM210" s="46"/>
      <c r="OFN210" s="46"/>
      <c r="OFO210" s="46"/>
      <c r="OFP210" s="46"/>
      <c r="OFQ210" s="46"/>
      <c r="OFR210" s="46"/>
      <c r="OFS210" s="46"/>
      <c r="OFT210" s="46"/>
      <c r="OFU210" s="46"/>
      <c r="OFV210" s="46"/>
      <c r="OFW210" s="46"/>
      <c r="OFX210" s="46"/>
      <c r="OFY210" s="46"/>
      <c r="OFZ210" s="46"/>
      <c r="OGA210" s="46"/>
      <c r="OGB210" s="46"/>
      <c r="OGC210" s="46"/>
      <c r="OGD210" s="46"/>
      <c r="OGE210" s="46"/>
      <c r="OGF210" s="46"/>
      <c r="OGG210" s="46"/>
      <c r="OGH210" s="46"/>
      <c r="OGI210" s="46"/>
      <c r="OGJ210" s="46"/>
      <c r="OGK210" s="46"/>
      <c r="OGL210" s="46"/>
      <c r="OGM210" s="46"/>
      <c r="OGN210" s="46"/>
      <c r="OGO210" s="46"/>
      <c r="OGP210" s="46"/>
      <c r="OGQ210" s="46"/>
      <c r="OGR210" s="46"/>
      <c r="OGS210" s="46"/>
      <c r="OGT210" s="46"/>
      <c r="OGU210" s="46"/>
      <c r="OGV210" s="46"/>
      <c r="OGW210" s="46"/>
      <c r="OGX210" s="46"/>
      <c r="OGY210" s="46"/>
      <c r="OGZ210" s="46"/>
      <c r="OHA210" s="46"/>
      <c r="OHB210" s="46"/>
      <c r="OHC210" s="46"/>
      <c r="OHD210" s="46"/>
      <c r="OHE210" s="46"/>
      <c r="OHF210" s="46"/>
      <c r="OHG210" s="46"/>
      <c r="OHH210" s="46"/>
      <c r="OHI210" s="46"/>
      <c r="OHJ210" s="46"/>
      <c r="OHK210" s="46"/>
      <c r="OHL210" s="46"/>
      <c r="OHM210" s="46"/>
      <c r="OHN210" s="46"/>
      <c r="OHO210" s="46"/>
      <c r="OHP210" s="46"/>
      <c r="OHQ210" s="46"/>
      <c r="OHR210" s="46"/>
      <c r="OHS210" s="46"/>
      <c r="OHT210" s="46"/>
      <c r="OHU210" s="46"/>
      <c r="OHV210" s="46"/>
      <c r="OHW210" s="46"/>
      <c r="OHX210" s="46"/>
      <c r="OHY210" s="46"/>
      <c r="OHZ210" s="46"/>
      <c r="OIA210" s="46"/>
      <c r="OIB210" s="46"/>
      <c r="OIC210" s="46"/>
      <c r="OID210" s="46"/>
      <c r="OIE210" s="46"/>
      <c r="OIF210" s="46"/>
      <c r="OIG210" s="46"/>
      <c r="OIH210" s="46"/>
      <c r="OII210" s="46"/>
      <c r="OIJ210" s="46"/>
      <c r="OIK210" s="46"/>
      <c r="OIL210" s="46"/>
      <c r="OIM210" s="46"/>
      <c r="OIN210" s="46"/>
      <c r="OIO210" s="46"/>
      <c r="OIP210" s="46"/>
      <c r="OIQ210" s="46"/>
      <c r="OIR210" s="46"/>
      <c r="OIS210" s="46"/>
      <c r="OIT210" s="46"/>
      <c r="OIU210" s="46"/>
      <c r="OIV210" s="46"/>
      <c r="OIW210" s="46"/>
      <c r="OIX210" s="46"/>
      <c r="OIY210" s="46"/>
      <c r="OIZ210" s="46"/>
      <c r="OJA210" s="46"/>
      <c r="OJB210" s="46"/>
      <c r="OJC210" s="46"/>
      <c r="OJD210" s="46"/>
      <c r="OJE210" s="46"/>
      <c r="OJF210" s="46"/>
      <c r="OJG210" s="46"/>
      <c r="OJH210" s="46"/>
      <c r="OJI210" s="46"/>
      <c r="OJJ210" s="46"/>
      <c r="OJK210" s="46"/>
      <c r="OJL210" s="46"/>
      <c r="OJM210" s="46"/>
      <c r="OJN210" s="46"/>
      <c r="OJO210" s="46"/>
      <c r="OJP210" s="46"/>
      <c r="OJQ210" s="46"/>
      <c r="OJR210" s="46"/>
      <c r="OJS210" s="46"/>
      <c r="OJT210" s="46"/>
      <c r="OJU210" s="46"/>
      <c r="OJV210" s="46"/>
      <c r="OJW210" s="46"/>
      <c r="OJX210" s="46"/>
      <c r="OJY210" s="46"/>
      <c r="OJZ210" s="46"/>
      <c r="OKA210" s="46"/>
      <c r="OKB210" s="46"/>
      <c r="OKC210" s="46"/>
      <c r="OKD210" s="46"/>
      <c r="OKE210" s="46"/>
      <c r="OKF210" s="46"/>
      <c r="OKG210" s="46"/>
      <c r="OKH210" s="46"/>
      <c r="OKI210" s="46"/>
      <c r="OKJ210" s="46"/>
      <c r="OKK210" s="46"/>
      <c r="OKL210" s="46"/>
      <c r="OKM210" s="46"/>
      <c r="OKN210" s="46"/>
      <c r="OKO210" s="46"/>
      <c r="OKP210" s="46"/>
      <c r="OKQ210" s="46"/>
      <c r="OKR210" s="46"/>
      <c r="OKS210" s="46"/>
      <c r="OKT210" s="46"/>
      <c r="OKU210" s="46"/>
      <c r="OKV210" s="46"/>
      <c r="OKW210" s="46"/>
      <c r="OKX210" s="46"/>
      <c r="OKY210" s="46"/>
      <c r="OKZ210" s="46"/>
      <c r="OLA210" s="46"/>
      <c r="OLB210" s="46"/>
      <c r="OLC210" s="46"/>
      <c r="OLD210" s="46"/>
      <c r="OLE210" s="46"/>
      <c r="OLF210" s="46"/>
      <c r="OLG210" s="46"/>
      <c r="OLH210" s="46"/>
      <c r="OLI210" s="46"/>
      <c r="OLJ210" s="46"/>
      <c r="OLK210" s="46"/>
      <c r="OLL210" s="46"/>
      <c r="OLM210" s="46"/>
      <c r="OLN210" s="46"/>
      <c r="OLO210" s="46"/>
      <c r="OLP210" s="46"/>
      <c r="OLQ210" s="46"/>
      <c r="OLR210" s="46"/>
      <c r="OLS210" s="46"/>
      <c r="OLT210" s="46"/>
      <c r="OLU210" s="46"/>
      <c r="OLV210" s="46"/>
      <c r="OLW210" s="46"/>
      <c r="OLX210" s="46"/>
      <c r="OLY210" s="46"/>
      <c r="OLZ210" s="46"/>
      <c r="OMA210" s="46"/>
      <c r="OMB210" s="46"/>
      <c r="OMC210" s="46"/>
      <c r="OMD210" s="46"/>
      <c r="OME210" s="46"/>
      <c r="OMF210" s="46"/>
      <c r="OMG210" s="46"/>
      <c r="OMH210" s="46"/>
      <c r="OMI210" s="46"/>
      <c r="OMJ210" s="46"/>
      <c r="OMK210" s="46"/>
      <c r="OML210" s="46"/>
      <c r="OMM210" s="46"/>
      <c r="OMN210" s="46"/>
      <c r="OMO210" s="46"/>
      <c r="OMP210" s="46"/>
      <c r="OMQ210" s="46"/>
      <c r="OMR210" s="46"/>
      <c r="OMS210" s="46"/>
      <c r="OMT210" s="46"/>
      <c r="OMU210" s="46"/>
      <c r="OMV210" s="46"/>
      <c r="OMW210" s="46"/>
      <c r="OMX210" s="46"/>
      <c r="OMY210" s="46"/>
      <c r="OMZ210" s="46"/>
      <c r="ONA210" s="46"/>
      <c r="ONB210" s="46"/>
      <c r="ONC210" s="46"/>
      <c r="OND210" s="46"/>
      <c r="ONE210" s="46"/>
      <c r="ONF210" s="46"/>
      <c r="ONG210" s="46"/>
      <c r="ONH210" s="46"/>
      <c r="ONI210" s="46"/>
      <c r="ONJ210" s="46"/>
      <c r="ONK210" s="46"/>
      <c r="ONL210" s="46"/>
      <c r="ONM210" s="46"/>
      <c r="ONN210" s="46"/>
      <c r="ONO210" s="46"/>
      <c r="ONP210" s="46"/>
      <c r="ONQ210" s="46"/>
      <c r="ONR210" s="46"/>
      <c r="ONS210" s="46"/>
      <c r="ONT210" s="46"/>
      <c r="ONU210" s="46"/>
      <c r="ONV210" s="46"/>
      <c r="ONW210" s="46"/>
      <c r="ONX210" s="46"/>
      <c r="ONY210" s="46"/>
      <c r="ONZ210" s="46"/>
      <c r="OOA210" s="46"/>
      <c r="OOB210" s="46"/>
      <c r="OOC210" s="46"/>
      <c r="OOD210" s="46"/>
      <c r="OOE210" s="46"/>
      <c r="OOF210" s="46"/>
      <c r="OOG210" s="46"/>
      <c r="OOH210" s="46"/>
      <c r="OOI210" s="46"/>
      <c r="OOJ210" s="46"/>
      <c r="OOK210" s="46"/>
      <c r="OOL210" s="46"/>
      <c r="OOM210" s="46"/>
      <c r="OON210" s="46"/>
      <c r="OOO210" s="46"/>
      <c r="OOP210" s="46"/>
      <c r="OOQ210" s="46"/>
      <c r="OOR210" s="46"/>
      <c r="OOS210" s="46"/>
      <c r="OOT210" s="46"/>
      <c r="OOU210" s="46"/>
      <c r="OOV210" s="46"/>
      <c r="OOW210" s="46"/>
      <c r="OOX210" s="46"/>
      <c r="OOY210" s="46"/>
      <c r="OOZ210" s="46"/>
      <c r="OPA210" s="46"/>
      <c r="OPB210" s="46"/>
      <c r="OPC210" s="46"/>
      <c r="OPD210" s="46"/>
      <c r="OPE210" s="46"/>
      <c r="OPF210" s="46"/>
      <c r="OPG210" s="46"/>
      <c r="OPH210" s="46"/>
      <c r="OPI210" s="46"/>
      <c r="OPJ210" s="46"/>
      <c r="OPK210" s="46"/>
      <c r="OPL210" s="46"/>
      <c r="OPM210" s="46"/>
      <c r="OPN210" s="46"/>
      <c r="OPO210" s="46"/>
      <c r="OPP210" s="46"/>
      <c r="OPQ210" s="46"/>
      <c r="OPR210" s="46"/>
      <c r="OPS210" s="46"/>
      <c r="OPT210" s="46"/>
      <c r="OPU210" s="46"/>
      <c r="OPV210" s="46"/>
      <c r="OPW210" s="46"/>
      <c r="OPX210" s="46"/>
      <c r="OPY210" s="46"/>
      <c r="OPZ210" s="46"/>
      <c r="OQA210" s="46"/>
      <c r="OQB210" s="46"/>
      <c r="OQC210" s="46"/>
      <c r="OQD210" s="46"/>
      <c r="OQE210" s="46"/>
      <c r="OQF210" s="46"/>
      <c r="OQG210" s="46"/>
      <c r="OQH210" s="46"/>
      <c r="OQI210" s="46"/>
      <c r="OQJ210" s="46"/>
      <c r="OQK210" s="46"/>
      <c r="OQL210" s="46"/>
      <c r="OQM210" s="46"/>
      <c r="OQN210" s="46"/>
      <c r="OQO210" s="46"/>
      <c r="OQP210" s="46"/>
      <c r="OQQ210" s="46"/>
      <c r="OQR210" s="46"/>
      <c r="OQS210" s="46"/>
      <c r="OQT210" s="46"/>
      <c r="OQU210" s="46"/>
      <c r="OQV210" s="46"/>
      <c r="OQW210" s="46"/>
      <c r="OQX210" s="46"/>
      <c r="OQY210" s="46"/>
      <c r="OQZ210" s="46"/>
      <c r="ORA210" s="46"/>
      <c r="ORB210" s="46"/>
      <c r="ORC210" s="46"/>
      <c r="ORD210" s="46"/>
      <c r="ORE210" s="46"/>
      <c r="ORF210" s="46"/>
      <c r="ORG210" s="46"/>
      <c r="ORH210" s="46"/>
      <c r="ORI210" s="46"/>
      <c r="ORJ210" s="46"/>
      <c r="ORK210" s="46"/>
      <c r="ORL210" s="46"/>
      <c r="ORM210" s="46"/>
      <c r="ORN210" s="46"/>
      <c r="ORO210" s="46"/>
      <c r="ORP210" s="46"/>
      <c r="ORQ210" s="46"/>
      <c r="ORR210" s="46"/>
      <c r="ORS210" s="46"/>
      <c r="ORT210" s="46"/>
      <c r="ORU210" s="46"/>
      <c r="ORV210" s="46"/>
      <c r="ORW210" s="46"/>
      <c r="ORX210" s="46"/>
      <c r="ORY210" s="46"/>
      <c r="ORZ210" s="46"/>
      <c r="OSA210" s="46"/>
      <c r="OSB210" s="46"/>
      <c r="OSC210" s="46"/>
      <c r="OSD210" s="46"/>
      <c r="OSE210" s="46"/>
      <c r="OSF210" s="46"/>
      <c r="OSG210" s="46"/>
      <c r="OSH210" s="46"/>
      <c r="OSI210" s="46"/>
      <c r="OSJ210" s="46"/>
      <c r="OSK210" s="46"/>
      <c r="OSL210" s="46"/>
      <c r="OSM210" s="46"/>
      <c r="OSN210" s="46"/>
      <c r="OSO210" s="46"/>
      <c r="OSP210" s="46"/>
      <c r="OSQ210" s="46"/>
      <c r="OSR210" s="46"/>
      <c r="OSS210" s="46"/>
      <c r="OST210" s="46"/>
      <c r="OSU210" s="46"/>
      <c r="OSV210" s="46"/>
      <c r="OSW210" s="46"/>
      <c r="OSX210" s="46"/>
      <c r="OSY210" s="46"/>
      <c r="OSZ210" s="46"/>
      <c r="OTA210" s="46"/>
      <c r="OTB210" s="46"/>
      <c r="OTC210" s="46"/>
      <c r="OTD210" s="46"/>
      <c r="OTE210" s="46"/>
      <c r="OTF210" s="46"/>
      <c r="OTG210" s="46"/>
      <c r="OTH210" s="46"/>
      <c r="OTI210" s="46"/>
      <c r="OTJ210" s="46"/>
      <c r="OTK210" s="46"/>
      <c r="OTL210" s="46"/>
      <c r="OTM210" s="46"/>
      <c r="OTN210" s="46"/>
      <c r="OTO210" s="46"/>
      <c r="OTP210" s="46"/>
      <c r="OTQ210" s="46"/>
      <c r="OTR210" s="46"/>
      <c r="OTS210" s="46"/>
      <c r="OTT210" s="46"/>
      <c r="OTU210" s="46"/>
      <c r="OTV210" s="46"/>
      <c r="OTW210" s="46"/>
      <c r="OTX210" s="46"/>
      <c r="OTY210" s="46"/>
      <c r="OTZ210" s="46"/>
      <c r="OUA210" s="46"/>
      <c r="OUB210" s="46"/>
      <c r="OUC210" s="46"/>
      <c r="OUD210" s="46"/>
      <c r="OUE210" s="46"/>
      <c r="OUF210" s="46"/>
      <c r="OUG210" s="46"/>
      <c r="OUH210" s="46"/>
      <c r="OUI210" s="46"/>
      <c r="OUJ210" s="46"/>
      <c r="OUK210" s="46"/>
      <c r="OUL210" s="46"/>
      <c r="OUM210" s="46"/>
      <c r="OUN210" s="46"/>
      <c r="OUO210" s="46"/>
      <c r="OUP210" s="46"/>
      <c r="OUQ210" s="46"/>
      <c r="OUR210" s="46"/>
      <c r="OUS210" s="46"/>
      <c r="OUT210" s="46"/>
      <c r="OUU210" s="46"/>
      <c r="OUV210" s="46"/>
      <c r="OUW210" s="46"/>
      <c r="OUX210" s="46"/>
      <c r="OUY210" s="46"/>
      <c r="OUZ210" s="46"/>
      <c r="OVA210" s="46"/>
      <c r="OVB210" s="46"/>
      <c r="OVC210" s="46"/>
      <c r="OVD210" s="46"/>
      <c r="OVE210" s="46"/>
      <c r="OVF210" s="46"/>
      <c r="OVG210" s="46"/>
      <c r="OVH210" s="46"/>
      <c r="OVI210" s="46"/>
      <c r="OVJ210" s="46"/>
      <c r="OVK210" s="46"/>
      <c r="OVL210" s="46"/>
      <c r="OVM210" s="46"/>
      <c r="OVN210" s="46"/>
      <c r="OVO210" s="46"/>
      <c r="OVP210" s="46"/>
      <c r="OVQ210" s="46"/>
      <c r="OVR210" s="46"/>
      <c r="OVS210" s="46"/>
      <c r="OVT210" s="46"/>
      <c r="OVU210" s="46"/>
      <c r="OVV210" s="46"/>
      <c r="OVW210" s="46"/>
      <c r="OVX210" s="46"/>
      <c r="OVY210" s="46"/>
      <c r="OVZ210" s="46"/>
      <c r="OWA210" s="46"/>
      <c r="OWB210" s="46"/>
      <c r="OWC210" s="46"/>
      <c r="OWD210" s="46"/>
      <c r="OWE210" s="46"/>
      <c r="OWF210" s="46"/>
      <c r="OWG210" s="46"/>
      <c r="OWH210" s="46"/>
      <c r="OWI210" s="46"/>
      <c r="OWJ210" s="46"/>
      <c r="OWK210" s="46"/>
      <c r="OWL210" s="46"/>
      <c r="OWM210" s="46"/>
      <c r="OWN210" s="46"/>
      <c r="OWO210" s="46"/>
      <c r="OWP210" s="46"/>
      <c r="OWQ210" s="46"/>
      <c r="OWR210" s="46"/>
      <c r="OWS210" s="46"/>
      <c r="OWT210" s="46"/>
      <c r="OWU210" s="46"/>
      <c r="OWV210" s="46"/>
      <c r="OWW210" s="46"/>
      <c r="OWX210" s="46"/>
      <c r="OWY210" s="46"/>
      <c r="OWZ210" s="46"/>
      <c r="OXA210" s="46"/>
      <c r="OXB210" s="46"/>
      <c r="OXC210" s="46"/>
      <c r="OXD210" s="46"/>
      <c r="OXE210" s="46"/>
      <c r="OXF210" s="46"/>
      <c r="OXG210" s="46"/>
      <c r="OXH210" s="46"/>
      <c r="OXI210" s="46"/>
      <c r="OXJ210" s="46"/>
      <c r="OXK210" s="46"/>
      <c r="OXL210" s="46"/>
      <c r="OXM210" s="46"/>
      <c r="OXN210" s="46"/>
      <c r="OXO210" s="46"/>
      <c r="OXP210" s="46"/>
      <c r="OXQ210" s="46"/>
      <c r="OXR210" s="46"/>
      <c r="OXS210" s="46"/>
      <c r="OXT210" s="46"/>
      <c r="OXU210" s="46"/>
      <c r="OXV210" s="46"/>
      <c r="OXW210" s="46"/>
      <c r="OXX210" s="46"/>
      <c r="OXY210" s="46"/>
      <c r="OXZ210" s="46"/>
      <c r="OYA210" s="46"/>
      <c r="OYB210" s="46"/>
      <c r="OYC210" s="46"/>
      <c r="OYD210" s="46"/>
      <c r="OYE210" s="46"/>
      <c r="OYF210" s="46"/>
      <c r="OYG210" s="46"/>
      <c r="OYH210" s="46"/>
      <c r="OYI210" s="46"/>
      <c r="OYJ210" s="46"/>
      <c r="OYK210" s="46"/>
      <c r="OYL210" s="46"/>
      <c r="OYM210" s="46"/>
      <c r="OYN210" s="46"/>
      <c r="OYO210" s="46"/>
      <c r="OYP210" s="46"/>
      <c r="OYQ210" s="46"/>
      <c r="OYR210" s="46"/>
      <c r="OYS210" s="46"/>
      <c r="OYT210" s="46"/>
      <c r="OYU210" s="46"/>
      <c r="OYV210" s="46"/>
      <c r="OYW210" s="46"/>
      <c r="OYX210" s="46"/>
      <c r="OYY210" s="46"/>
      <c r="OYZ210" s="46"/>
      <c r="OZA210" s="46"/>
      <c r="OZB210" s="46"/>
      <c r="OZC210" s="46"/>
      <c r="OZD210" s="46"/>
      <c r="OZE210" s="46"/>
      <c r="OZF210" s="46"/>
      <c r="OZG210" s="46"/>
      <c r="OZH210" s="46"/>
      <c r="OZI210" s="46"/>
      <c r="OZJ210" s="46"/>
      <c r="OZK210" s="46"/>
      <c r="OZL210" s="46"/>
      <c r="OZM210" s="46"/>
      <c r="OZN210" s="46"/>
      <c r="OZO210" s="46"/>
      <c r="OZP210" s="46"/>
      <c r="OZQ210" s="46"/>
      <c r="OZR210" s="46"/>
      <c r="OZS210" s="46"/>
      <c r="OZT210" s="46"/>
      <c r="OZU210" s="46"/>
      <c r="OZV210" s="46"/>
      <c r="OZW210" s="46"/>
      <c r="OZX210" s="46"/>
      <c r="OZY210" s="46"/>
      <c r="OZZ210" s="46"/>
      <c r="PAA210" s="46"/>
      <c r="PAB210" s="46"/>
      <c r="PAC210" s="46"/>
      <c r="PAD210" s="46"/>
      <c r="PAE210" s="46"/>
      <c r="PAF210" s="46"/>
      <c r="PAG210" s="46"/>
      <c r="PAH210" s="46"/>
      <c r="PAI210" s="46"/>
      <c r="PAJ210" s="46"/>
      <c r="PAK210" s="46"/>
      <c r="PAL210" s="46"/>
      <c r="PAM210" s="46"/>
      <c r="PAN210" s="46"/>
      <c r="PAO210" s="46"/>
      <c r="PAP210" s="46"/>
      <c r="PAQ210" s="46"/>
      <c r="PAR210" s="46"/>
      <c r="PAS210" s="46"/>
      <c r="PAT210" s="46"/>
      <c r="PAU210" s="46"/>
      <c r="PAV210" s="46"/>
      <c r="PAW210" s="46"/>
      <c r="PAX210" s="46"/>
      <c r="PAY210" s="46"/>
      <c r="PAZ210" s="46"/>
      <c r="PBA210" s="46"/>
      <c r="PBB210" s="46"/>
      <c r="PBC210" s="46"/>
      <c r="PBD210" s="46"/>
      <c r="PBE210" s="46"/>
      <c r="PBF210" s="46"/>
      <c r="PBG210" s="46"/>
      <c r="PBH210" s="46"/>
      <c r="PBI210" s="46"/>
      <c r="PBJ210" s="46"/>
      <c r="PBK210" s="46"/>
      <c r="PBL210" s="46"/>
      <c r="PBM210" s="46"/>
      <c r="PBN210" s="46"/>
      <c r="PBO210" s="46"/>
      <c r="PBP210" s="46"/>
      <c r="PBQ210" s="46"/>
      <c r="PBR210" s="46"/>
      <c r="PBS210" s="46"/>
      <c r="PBT210" s="46"/>
      <c r="PBU210" s="46"/>
      <c r="PBV210" s="46"/>
      <c r="PBW210" s="46"/>
      <c r="PBX210" s="46"/>
      <c r="PBY210" s="46"/>
      <c r="PBZ210" s="46"/>
      <c r="PCA210" s="46"/>
      <c r="PCB210" s="46"/>
      <c r="PCC210" s="46"/>
      <c r="PCD210" s="46"/>
      <c r="PCE210" s="46"/>
      <c r="PCF210" s="46"/>
      <c r="PCG210" s="46"/>
      <c r="PCH210" s="46"/>
      <c r="PCI210" s="46"/>
      <c r="PCJ210" s="46"/>
      <c r="PCK210" s="46"/>
      <c r="PCL210" s="46"/>
      <c r="PCM210" s="46"/>
      <c r="PCN210" s="46"/>
      <c r="PCO210" s="46"/>
      <c r="PCP210" s="46"/>
      <c r="PCQ210" s="46"/>
      <c r="PCR210" s="46"/>
      <c r="PCS210" s="46"/>
      <c r="PCT210" s="46"/>
      <c r="PCU210" s="46"/>
      <c r="PCV210" s="46"/>
      <c r="PCW210" s="46"/>
      <c r="PCX210" s="46"/>
      <c r="PCY210" s="46"/>
      <c r="PCZ210" s="46"/>
      <c r="PDA210" s="46"/>
      <c r="PDB210" s="46"/>
      <c r="PDC210" s="46"/>
      <c r="PDD210" s="46"/>
      <c r="PDE210" s="46"/>
      <c r="PDF210" s="46"/>
      <c r="PDG210" s="46"/>
      <c r="PDH210" s="46"/>
      <c r="PDI210" s="46"/>
      <c r="PDJ210" s="46"/>
      <c r="PDK210" s="46"/>
      <c r="PDL210" s="46"/>
      <c r="PDM210" s="46"/>
      <c r="PDN210" s="46"/>
      <c r="PDO210" s="46"/>
      <c r="PDP210" s="46"/>
      <c r="PDQ210" s="46"/>
      <c r="PDR210" s="46"/>
      <c r="PDS210" s="46"/>
      <c r="PDT210" s="46"/>
      <c r="PDU210" s="46"/>
      <c r="PDV210" s="46"/>
      <c r="PDW210" s="46"/>
      <c r="PDX210" s="46"/>
      <c r="PDY210" s="46"/>
      <c r="PDZ210" s="46"/>
      <c r="PEA210" s="46"/>
      <c r="PEB210" s="46"/>
      <c r="PEC210" s="46"/>
      <c r="PED210" s="46"/>
      <c r="PEE210" s="46"/>
      <c r="PEF210" s="46"/>
      <c r="PEG210" s="46"/>
      <c r="PEH210" s="46"/>
      <c r="PEI210" s="46"/>
      <c r="PEJ210" s="46"/>
      <c r="PEK210" s="46"/>
      <c r="PEL210" s="46"/>
      <c r="PEM210" s="46"/>
      <c r="PEN210" s="46"/>
      <c r="PEO210" s="46"/>
      <c r="PEP210" s="46"/>
      <c r="PEQ210" s="46"/>
      <c r="PER210" s="46"/>
      <c r="PES210" s="46"/>
      <c r="PET210" s="46"/>
      <c r="PEU210" s="46"/>
      <c r="PEV210" s="46"/>
      <c r="PEW210" s="46"/>
      <c r="PEX210" s="46"/>
      <c r="PEY210" s="46"/>
      <c r="PEZ210" s="46"/>
      <c r="PFA210" s="46"/>
      <c r="PFB210" s="46"/>
      <c r="PFC210" s="46"/>
      <c r="PFD210" s="46"/>
      <c r="PFE210" s="46"/>
      <c r="PFF210" s="46"/>
      <c r="PFG210" s="46"/>
      <c r="PFH210" s="46"/>
      <c r="PFI210" s="46"/>
      <c r="PFJ210" s="46"/>
      <c r="PFK210" s="46"/>
      <c r="PFL210" s="46"/>
      <c r="PFM210" s="46"/>
      <c r="PFN210" s="46"/>
      <c r="PFO210" s="46"/>
      <c r="PFP210" s="46"/>
      <c r="PFQ210" s="46"/>
      <c r="PFR210" s="46"/>
      <c r="PFS210" s="46"/>
      <c r="PFT210" s="46"/>
      <c r="PFU210" s="46"/>
      <c r="PFV210" s="46"/>
      <c r="PFW210" s="46"/>
      <c r="PFX210" s="46"/>
      <c r="PFY210" s="46"/>
      <c r="PFZ210" s="46"/>
      <c r="PGA210" s="46"/>
      <c r="PGB210" s="46"/>
      <c r="PGC210" s="46"/>
      <c r="PGD210" s="46"/>
      <c r="PGE210" s="46"/>
      <c r="PGF210" s="46"/>
      <c r="PGG210" s="46"/>
      <c r="PGH210" s="46"/>
      <c r="PGI210" s="46"/>
      <c r="PGJ210" s="46"/>
      <c r="PGK210" s="46"/>
      <c r="PGL210" s="46"/>
      <c r="PGM210" s="46"/>
      <c r="PGN210" s="46"/>
      <c r="PGO210" s="46"/>
      <c r="PGP210" s="46"/>
      <c r="PGQ210" s="46"/>
      <c r="PGR210" s="46"/>
      <c r="PGS210" s="46"/>
      <c r="PGT210" s="46"/>
      <c r="PGU210" s="46"/>
      <c r="PGV210" s="46"/>
      <c r="PGW210" s="46"/>
      <c r="PGX210" s="46"/>
      <c r="PGY210" s="46"/>
      <c r="PGZ210" s="46"/>
      <c r="PHA210" s="46"/>
      <c r="PHB210" s="46"/>
      <c r="PHC210" s="46"/>
      <c r="PHD210" s="46"/>
      <c r="PHE210" s="46"/>
      <c r="PHF210" s="46"/>
      <c r="PHG210" s="46"/>
      <c r="PHH210" s="46"/>
      <c r="PHI210" s="46"/>
      <c r="PHJ210" s="46"/>
      <c r="PHK210" s="46"/>
      <c r="PHL210" s="46"/>
      <c r="PHM210" s="46"/>
      <c r="PHN210" s="46"/>
      <c r="PHO210" s="46"/>
      <c r="PHP210" s="46"/>
      <c r="PHQ210" s="46"/>
      <c r="PHR210" s="46"/>
      <c r="PHS210" s="46"/>
      <c r="PHT210" s="46"/>
      <c r="PHU210" s="46"/>
      <c r="PHV210" s="46"/>
      <c r="PHW210" s="46"/>
      <c r="PHX210" s="46"/>
      <c r="PHY210" s="46"/>
      <c r="PHZ210" s="46"/>
      <c r="PIA210" s="46"/>
      <c r="PIB210" s="46"/>
      <c r="PIC210" s="46"/>
      <c r="PID210" s="46"/>
      <c r="PIE210" s="46"/>
      <c r="PIF210" s="46"/>
      <c r="PIG210" s="46"/>
      <c r="PIH210" s="46"/>
      <c r="PII210" s="46"/>
      <c r="PIJ210" s="46"/>
      <c r="PIK210" s="46"/>
      <c r="PIL210" s="46"/>
      <c r="PIM210" s="46"/>
      <c r="PIN210" s="46"/>
      <c r="PIO210" s="46"/>
      <c r="PIP210" s="46"/>
      <c r="PIQ210" s="46"/>
      <c r="PIR210" s="46"/>
      <c r="PIS210" s="46"/>
      <c r="PIT210" s="46"/>
      <c r="PIU210" s="46"/>
      <c r="PIV210" s="46"/>
      <c r="PIW210" s="46"/>
      <c r="PIX210" s="46"/>
      <c r="PIY210" s="46"/>
      <c r="PIZ210" s="46"/>
      <c r="PJA210" s="46"/>
      <c r="PJB210" s="46"/>
      <c r="PJC210" s="46"/>
      <c r="PJD210" s="46"/>
      <c r="PJE210" s="46"/>
      <c r="PJF210" s="46"/>
      <c r="PJG210" s="46"/>
      <c r="PJH210" s="46"/>
      <c r="PJI210" s="46"/>
      <c r="PJJ210" s="46"/>
      <c r="PJK210" s="46"/>
      <c r="PJL210" s="46"/>
      <c r="PJM210" s="46"/>
      <c r="PJN210" s="46"/>
      <c r="PJO210" s="46"/>
      <c r="PJP210" s="46"/>
      <c r="PJQ210" s="46"/>
      <c r="PJR210" s="46"/>
      <c r="PJS210" s="46"/>
      <c r="PJT210" s="46"/>
      <c r="PJU210" s="46"/>
      <c r="PJV210" s="46"/>
      <c r="PJW210" s="46"/>
      <c r="PJX210" s="46"/>
      <c r="PJY210" s="46"/>
      <c r="PJZ210" s="46"/>
      <c r="PKA210" s="46"/>
      <c r="PKB210" s="46"/>
      <c r="PKC210" s="46"/>
      <c r="PKD210" s="46"/>
      <c r="PKE210" s="46"/>
      <c r="PKF210" s="46"/>
      <c r="PKG210" s="46"/>
      <c r="PKH210" s="46"/>
      <c r="PKI210" s="46"/>
      <c r="PKJ210" s="46"/>
      <c r="PKK210" s="46"/>
      <c r="PKL210" s="46"/>
      <c r="PKM210" s="46"/>
      <c r="PKN210" s="46"/>
      <c r="PKO210" s="46"/>
      <c r="PKP210" s="46"/>
      <c r="PKQ210" s="46"/>
      <c r="PKR210" s="46"/>
      <c r="PKS210" s="46"/>
      <c r="PKT210" s="46"/>
      <c r="PKU210" s="46"/>
      <c r="PKV210" s="46"/>
      <c r="PKW210" s="46"/>
      <c r="PKX210" s="46"/>
      <c r="PKY210" s="46"/>
      <c r="PKZ210" s="46"/>
      <c r="PLA210" s="46"/>
      <c r="PLB210" s="46"/>
      <c r="PLC210" s="46"/>
      <c r="PLD210" s="46"/>
      <c r="PLE210" s="46"/>
      <c r="PLF210" s="46"/>
      <c r="PLG210" s="46"/>
      <c r="PLH210" s="46"/>
      <c r="PLI210" s="46"/>
      <c r="PLJ210" s="46"/>
      <c r="PLK210" s="46"/>
      <c r="PLL210" s="46"/>
      <c r="PLM210" s="46"/>
      <c r="PLN210" s="46"/>
      <c r="PLO210" s="46"/>
      <c r="PLP210" s="46"/>
      <c r="PLQ210" s="46"/>
      <c r="PLR210" s="46"/>
      <c r="PLS210" s="46"/>
      <c r="PLT210" s="46"/>
      <c r="PLU210" s="46"/>
      <c r="PLV210" s="46"/>
      <c r="PLW210" s="46"/>
      <c r="PLX210" s="46"/>
      <c r="PLY210" s="46"/>
      <c r="PLZ210" s="46"/>
      <c r="PMA210" s="46"/>
      <c r="PMB210" s="46"/>
      <c r="PMC210" s="46"/>
      <c r="PMD210" s="46"/>
      <c r="PME210" s="46"/>
      <c r="PMF210" s="46"/>
      <c r="PMG210" s="46"/>
      <c r="PMH210" s="46"/>
      <c r="PMI210" s="46"/>
      <c r="PMJ210" s="46"/>
      <c r="PMK210" s="46"/>
      <c r="PML210" s="46"/>
      <c r="PMM210" s="46"/>
      <c r="PMN210" s="46"/>
      <c r="PMO210" s="46"/>
      <c r="PMP210" s="46"/>
      <c r="PMQ210" s="46"/>
      <c r="PMR210" s="46"/>
      <c r="PMS210" s="46"/>
      <c r="PMT210" s="46"/>
      <c r="PMU210" s="46"/>
      <c r="PMV210" s="46"/>
      <c r="PMW210" s="46"/>
      <c r="PMX210" s="46"/>
      <c r="PMY210" s="46"/>
      <c r="PMZ210" s="46"/>
      <c r="PNA210" s="46"/>
      <c r="PNB210" s="46"/>
      <c r="PNC210" s="46"/>
      <c r="PND210" s="46"/>
      <c r="PNE210" s="46"/>
      <c r="PNF210" s="46"/>
      <c r="PNG210" s="46"/>
      <c r="PNH210" s="46"/>
      <c r="PNI210" s="46"/>
      <c r="PNJ210" s="46"/>
      <c r="PNK210" s="46"/>
      <c r="PNL210" s="46"/>
      <c r="PNM210" s="46"/>
      <c r="PNN210" s="46"/>
      <c r="PNO210" s="46"/>
      <c r="PNP210" s="46"/>
      <c r="PNQ210" s="46"/>
      <c r="PNR210" s="46"/>
      <c r="PNS210" s="46"/>
      <c r="PNT210" s="46"/>
      <c r="PNU210" s="46"/>
      <c r="PNV210" s="46"/>
      <c r="PNW210" s="46"/>
      <c r="PNX210" s="46"/>
      <c r="PNY210" s="46"/>
      <c r="PNZ210" s="46"/>
      <c r="POA210" s="46"/>
      <c r="POB210" s="46"/>
      <c r="POC210" s="46"/>
      <c r="POD210" s="46"/>
      <c r="POE210" s="46"/>
      <c r="POF210" s="46"/>
      <c r="POG210" s="46"/>
      <c r="POH210" s="46"/>
      <c r="POI210" s="46"/>
      <c r="POJ210" s="46"/>
      <c r="POK210" s="46"/>
      <c r="POL210" s="46"/>
      <c r="POM210" s="46"/>
      <c r="PON210" s="46"/>
      <c r="POO210" s="46"/>
      <c r="POP210" s="46"/>
      <c r="POQ210" s="46"/>
      <c r="POR210" s="46"/>
      <c r="POS210" s="46"/>
      <c r="POT210" s="46"/>
      <c r="POU210" s="46"/>
      <c r="POV210" s="46"/>
      <c r="POW210" s="46"/>
      <c r="POX210" s="46"/>
      <c r="POY210" s="46"/>
      <c r="POZ210" s="46"/>
      <c r="PPA210" s="46"/>
      <c r="PPB210" s="46"/>
      <c r="PPC210" s="46"/>
      <c r="PPD210" s="46"/>
      <c r="PPE210" s="46"/>
      <c r="PPF210" s="46"/>
      <c r="PPG210" s="46"/>
      <c r="PPH210" s="46"/>
      <c r="PPI210" s="46"/>
      <c r="PPJ210" s="46"/>
      <c r="PPK210" s="46"/>
      <c r="PPL210" s="46"/>
      <c r="PPM210" s="46"/>
      <c r="PPN210" s="46"/>
      <c r="PPO210" s="46"/>
      <c r="PPP210" s="46"/>
      <c r="PPQ210" s="46"/>
      <c r="PPR210" s="46"/>
      <c r="PPS210" s="46"/>
      <c r="PPT210" s="46"/>
      <c r="PPU210" s="46"/>
      <c r="PPV210" s="46"/>
      <c r="PPW210" s="46"/>
      <c r="PPX210" s="46"/>
      <c r="PPY210" s="46"/>
      <c r="PPZ210" s="46"/>
      <c r="PQA210" s="46"/>
      <c r="PQB210" s="46"/>
      <c r="PQC210" s="46"/>
      <c r="PQD210" s="46"/>
      <c r="PQE210" s="46"/>
      <c r="PQF210" s="46"/>
      <c r="PQG210" s="46"/>
      <c r="PQH210" s="46"/>
      <c r="PQI210" s="46"/>
      <c r="PQJ210" s="46"/>
      <c r="PQK210" s="46"/>
      <c r="PQL210" s="46"/>
      <c r="PQM210" s="46"/>
      <c r="PQN210" s="46"/>
      <c r="PQO210" s="46"/>
      <c r="PQP210" s="46"/>
      <c r="PQQ210" s="46"/>
      <c r="PQR210" s="46"/>
      <c r="PQS210" s="46"/>
      <c r="PQT210" s="46"/>
      <c r="PQU210" s="46"/>
      <c r="PQV210" s="46"/>
      <c r="PQW210" s="46"/>
      <c r="PQX210" s="46"/>
      <c r="PQY210" s="46"/>
      <c r="PQZ210" s="46"/>
      <c r="PRA210" s="46"/>
      <c r="PRB210" s="46"/>
      <c r="PRC210" s="46"/>
      <c r="PRD210" s="46"/>
      <c r="PRE210" s="46"/>
      <c r="PRF210" s="46"/>
      <c r="PRG210" s="46"/>
      <c r="PRH210" s="46"/>
      <c r="PRI210" s="46"/>
      <c r="PRJ210" s="46"/>
      <c r="PRK210" s="46"/>
      <c r="PRL210" s="46"/>
      <c r="PRM210" s="46"/>
      <c r="PRN210" s="46"/>
      <c r="PRO210" s="46"/>
      <c r="PRP210" s="46"/>
      <c r="PRQ210" s="46"/>
      <c r="PRR210" s="46"/>
      <c r="PRS210" s="46"/>
      <c r="PRT210" s="46"/>
      <c r="PRU210" s="46"/>
      <c r="PRV210" s="46"/>
      <c r="PRW210" s="46"/>
      <c r="PRX210" s="46"/>
      <c r="PRY210" s="46"/>
      <c r="PRZ210" s="46"/>
      <c r="PSA210" s="46"/>
      <c r="PSB210" s="46"/>
      <c r="PSC210" s="46"/>
      <c r="PSD210" s="46"/>
      <c r="PSE210" s="46"/>
      <c r="PSF210" s="46"/>
      <c r="PSG210" s="46"/>
      <c r="PSH210" s="46"/>
      <c r="PSI210" s="46"/>
      <c r="PSJ210" s="46"/>
      <c r="PSK210" s="46"/>
      <c r="PSL210" s="46"/>
      <c r="PSM210" s="46"/>
      <c r="PSN210" s="46"/>
      <c r="PSO210" s="46"/>
      <c r="PSP210" s="46"/>
      <c r="PSQ210" s="46"/>
      <c r="PSR210" s="46"/>
      <c r="PSS210" s="46"/>
      <c r="PST210" s="46"/>
      <c r="PSU210" s="46"/>
      <c r="PSV210" s="46"/>
      <c r="PSW210" s="46"/>
      <c r="PSX210" s="46"/>
      <c r="PSY210" s="46"/>
      <c r="PSZ210" s="46"/>
      <c r="PTA210" s="46"/>
      <c r="PTB210" s="46"/>
      <c r="PTC210" s="46"/>
      <c r="PTD210" s="46"/>
      <c r="PTE210" s="46"/>
      <c r="PTF210" s="46"/>
      <c r="PTG210" s="46"/>
      <c r="PTH210" s="46"/>
      <c r="PTI210" s="46"/>
      <c r="PTJ210" s="46"/>
      <c r="PTK210" s="46"/>
      <c r="PTL210" s="46"/>
      <c r="PTM210" s="46"/>
      <c r="PTN210" s="46"/>
      <c r="PTO210" s="46"/>
      <c r="PTP210" s="46"/>
      <c r="PTQ210" s="46"/>
      <c r="PTR210" s="46"/>
      <c r="PTS210" s="46"/>
      <c r="PTT210" s="46"/>
      <c r="PTU210" s="46"/>
      <c r="PTV210" s="46"/>
      <c r="PTW210" s="46"/>
      <c r="PTX210" s="46"/>
      <c r="PTY210" s="46"/>
      <c r="PTZ210" s="46"/>
      <c r="PUA210" s="46"/>
      <c r="PUB210" s="46"/>
      <c r="PUC210" s="46"/>
      <c r="PUD210" s="46"/>
      <c r="PUE210" s="46"/>
      <c r="PUF210" s="46"/>
      <c r="PUG210" s="46"/>
      <c r="PUH210" s="46"/>
      <c r="PUI210" s="46"/>
      <c r="PUJ210" s="46"/>
      <c r="PUK210" s="46"/>
      <c r="PUL210" s="46"/>
      <c r="PUM210" s="46"/>
      <c r="PUN210" s="46"/>
      <c r="PUO210" s="46"/>
      <c r="PUP210" s="46"/>
      <c r="PUQ210" s="46"/>
      <c r="PUR210" s="46"/>
      <c r="PUS210" s="46"/>
      <c r="PUT210" s="46"/>
      <c r="PUU210" s="46"/>
      <c r="PUV210" s="46"/>
      <c r="PUW210" s="46"/>
      <c r="PUX210" s="46"/>
      <c r="PUY210" s="46"/>
      <c r="PUZ210" s="46"/>
      <c r="PVA210" s="46"/>
      <c r="PVB210" s="46"/>
      <c r="PVC210" s="46"/>
      <c r="PVD210" s="46"/>
      <c r="PVE210" s="46"/>
      <c r="PVF210" s="46"/>
      <c r="PVG210" s="46"/>
      <c r="PVH210" s="46"/>
      <c r="PVI210" s="46"/>
      <c r="PVJ210" s="46"/>
      <c r="PVK210" s="46"/>
      <c r="PVL210" s="46"/>
      <c r="PVM210" s="46"/>
      <c r="PVN210" s="46"/>
      <c r="PVO210" s="46"/>
      <c r="PVP210" s="46"/>
      <c r="PVQ210" s="46"/>
      <c r="PVR210" s="46"/>
      <c r="PVS210" s="46"/>
      <c r="PVT210" s="46"/>
      <c r="PVU210" s="46"/>
      <c r="PVV210" s="46"/>
      <c r="PVW210" s="46"/>
      <c r="PVX210" s="46"/>
      <c r="PVY210" s="46"/>
      <c r="PVZ210" s="46"/>
      <c r="PWA210" s="46"/>
      <c r="PWB210" s="46"/>
      <c r="PWC210" s="46"/>
      <c r="PWD210" s="46"/>
      <c r="PWE210" s="46"/>
      <c r="PWF210" s="46"/>
      <c r="PWG210" s="46"/>
      <c r="PWH210" s="46"/>
      <c r="PWI210" s="46"/>
      <c r="PWJ210" s="46"/>
      <c r="PWK210" s="46"/>
      <c r="PWL210" s="46"/>
      <c r="PWM210" s="46"/>
      <c r="PWN210" s="46"/>
      <c r="PWO210" s="46"/>
      <c r="PWP210" s="46"/>
      <c r="PWQ210" s="46"/>
      <c r="PWR210" s="46"/>
      <c r="PWS210" s="46"/>
      <c r="PWT210" s="46"/>
      <c r="PWU210" s="46"/>
      <c r="PWV210" s="46"/>
      <c r="PWW210" s="46"/>
      <c r="PWX210" s="46"/>
      <c r="PWY210" s="46"/>
      <c r="PWZ210" s="46"/>
      <c r="PXA210" s="46"/>
      <c r="PXB210" s="46"/>
      <c r="PXC210" s="46"/>
      <c r="PXD210" s="46"/>
      <c r="PXE210" s="46"/>
      <c r="PXF210" s="46"/>
      <c r="PXG210" s="46"/>
      <c r="PXH210" s="46"/>
      <c r="PXI210" s="46"/>
      <c r="PXJ210" s="46"/>
      <c r="PXK210" s="46"/>
      <c r="PXL210" s="46"/>
      <c r="PXM210" s="46"/>
      <c r="PXN210" s="46"/>
      <c r="PXO210" s="46"/>
      <c r="PXP210" s="46"/>
      <c r="PXQ210" s="46"/>
      <c r="PXR210" s="46"/>
      <c r="PXS210" s="46"/>
      <c r="PXT210" s="46"/>
      <c r="PXU210" s="46"/>
      <c r="PXV210" s="46"/>
      <c r="PXW210" s="46"/>
      <c r="PXX210" s="46"/>
      <c r="PXY210" s="46"/>
      <c r="PXZ210" s="46"/>
      <c r="PYA210" s="46"/>
      <c r="PYB210" s="46"/>
      <c r="PYC210" s="46"/>
      <c r="PYD210" s="46"/>
      <c r="PYE210" s="46"/>
      <c r="PYF210" s="46"/>
      <c r="PYG210" s="46"/>
      <c r="PYH210" s="46"/>
      <c r="PYI210" s="46"/>
      <c r="PYJ210" s="46"/>
      <c r="PYK210" s="46"/>
      <c r="PYL210" s="46"/>
      <c r="PYM210" s="46"/>
      <c r="PYN210" s="46"/>
      <c r="PYO210" s="46"/>
      <c r="PYP210" s="46"/>
      <c r="PYQ210" s="46"/>
      <c r="PYR210" s="46"/>
      <c r="PYS210" s="46"/>
      <c r="PYT210" s="46"/>
      <c r="PYU210" s="46"/>
      <c r="PYV210" s="46"/>
      <c r="PYW210" s="46"/>
      <c r="PYX210" s="46"/>
      <c r="PYY210" s="46"/>
      <c r="PYZ210" s="46"/>
      <c r="PZA210" s="46"/>
      <c r="PZB210" s="46"/>
      <c r="PZC210" s="46"/>
      <c r="PZD210" s="46"/>
      <c r="PZE210" s="46"/>
      <c r="PZF210" s="46"/>
      <c r="PZG210" s="46"/>
      <c r="PZH210" s="46"/>
      <c r="PZI210" s="46"/>
      <c r="PZJ210" s="46"/>
      <c r="PZK210" s="46"/>
      <c r="PZL210" s="46"/>
      <c r="PZM210" s="46"/>
      <c r="PZN210" s="46"/>
      <c r="PZO210" s="46"/>
      <c r="PZP210" s="46"/>
      <c r="PZQ210" s="46"/>
      <c r="PZR210" s="46"/>
      <c r="PZS210" s="46"/>
      <c r="PZT210" s="46"/>
      <c r="PZU210" s="46"/>
      <c r="PZV210" s="46"/>
      <c r="PZW210" s="46"/>
      <c r="PZX210" s="46"/>
      <c r="PZY210" s="46"/>
      <c r="PZZ210" s="46"/>
      <c r="QAA210" s="46"/>
      <c r="QAB210" s="46"/>
      <c r="QAC210" s="46"/>
      <c r="QAD210" s="46"/>
      <c r="QAE210" s="46"/>
      <c r="QAF210" s="46"/>
      <c r="QAG210" s="46"/>
      <c r="QAH210" s="46"/>
      <c r="QAI210" s="46"/>
      <c r="QAJ210" s="46"/>
      <c r="QAK210" s="46"/>
      <c r="QAL210" s="46"/>
      <c r="QAM210" s="46"/>
      <c r="QAN210" s="46"/>
      <c r="QAO210" s="46"/>
      <c r="QAP210" s="46"/>
      <c r="QAQ210" s="46"/>
      <c r="QAR210" s="46"/>
      <c r="QAS210" s="46"/>
      <c r="QAT210" s="46"/>
      <c r="QAU210" s="46"/>
      <c r="QAV210" s="46"/>
      <c r="QAW210" s="46"/>
      <c r="QAX210" s="46"/>
      <c r="QAY210" s="46"/>
      <c r="QAZ210" s="46"/>
      <c r="QBA210" s="46"/>
      <c r="QBB210" s="46"/>
      <c r="QBC210" s="46"/>
      <c r="QBD210" s="46"/>
      <c r="QBE210" s="46"/>
      <c r="QBF210" s="46"/>
      <c r="QBG210" s="46"/>
      <c r="QBH210" s="46"/>
      <c r="QBI210" s="46"/>
      <c r="QBJ210" s="46"/>
      <c r="QBK210" s="46"/>
      <c r="QBL210" s="46"/>
      <c r="QBM210" s="46"/>
      <c r="QBN210" s="46"/>
      <c r="QBO210" s="46"/>
      <c r="QBP210" s="46"/>
      <c r="QBQ210" s="46"/>
      <c r="QBR210" s="46"/>
      <c r="QBS210" s="46"/>
      <c r="QBT210" s="46"/>
      <c r="QBU210" s="46"/>
      <c r="QBV210" s="46"/>
      <c r="QBW210" s="46"/>
      <c r="QBX210" s="46"/>
      <c r="QBY210" s="46"/>
      <c r="QBZ210" s="46"/>
      <c r="QCA210" s="46"/>
      <c r="QCB210" s="46"/>
      <c r="QCC210" s="46"/>
      <c r="QCD210" s="46"/>
      <c r="QCE210" s="46"/>
      <c r="QCF210" s="46"/>
      <c r="QCG210" s="46"/>
      <c r="QCH210" s="46"/>
      <c r="QCI210" s="46"/>
      <c r="QCJ210" s="46"/>
      <c r="QCK210" s="46"/>
      <c r="QCL210" s="46"/>
      <c r="QCM210" s="46"/>
      <c r="QCN210" s="46"/>
      <c r="QCO210" s="46"/>
      <c r="QCP210" s="46"/>
      <c r="QCQ210" s="46"/>
      <c r="QCR210" s="46"/>
      <c r="QCS210" s="46"/>
      <c r="QCT210" s="46"/>
      <c r="QCU210" s="46"/>
      <c r="QCV210" s="46"/>
      <c r="QCW210" s="46"/>
      <c r="QCX210" s="46"/>
      <c r="QCY210" s="46"/>
      <c r="QCZ210" s="46"/>
      <c r="QDA210" s="46"/>
      <c r="QDB210" s="46"/>
      <c r="QDC210" s="46"/>
      <c r="QDD210" s="46"/>
      <c r="QDE210" s="46"/>
      <c r="QDF210" s="46"/>
      <c r="QDG210" s="46"/>
      <c r="QDH210" s="46"/>
      <c r="QDI210" s="46"/>
      <c r="QDJ210" s="46"/>
      <c r="QDK210" s="46"/>
      <c r="QDL210" s="46"/>
      <c r="QDM210" s="46"/>
      <c r="QDN210" s="46"/>
      <c r="QDO210" s="46"/>
      <c r="QDP210" s="46"/>
      <c r="QDQ210" s="46"/>
      <c r="QDR210" s="46"/>
      <c r="QDS210" s="46"/>
      <c r="QDT210" s="46"/>
      <c r="QDU210" s="46"/>
      <c r="QDV210" s="46"/>
      <c r="QDW210" s="46"/>
      <c r="QDX210" s="46"/>
      <c r="QDY210" s="46"/>
      <c r="QDZ210" s="46"/>
      <c r="QEA210" s="46"/>
      <c r="QEB210" s="46"/>
      <c r="QEC210" s="46"/>
      <c r="QED210" s="46"/>
      <c r="QEE210" s="46"/>
      <c r="QEF210" s="46"/>
      <c r="QEG210" s="46"/>
      <c r="QEH210" s="46"/>
      <c r="QEI210" s="46"/>
      <c r="QEJ210" s="46"/>
      <c r="QEK210" s="46"/>
      <c r="QEL210" s="46"/>
      <c r="QEM210" s="46"/>
      <c r="QEN210" s="46"/>
      <c r="QEO210" s="46"/>
      <c r="QEP210" s="46"/>
      <c r="QEQ210" s="46"/>
      <c r="QER210" s="46"/>
      <c r="QES210" s="46"/>
      <c r="QET210" s="46"/>
      <c r="QEU210" s="46"/>
      <c r="QEV210" s="46"/>
      <c r="QEW210" s="46"/>
      <c r="QEX210" s="46"/>
      <c r="QEY210" s="46"/>
      <c r="QEZ210" s="46"/>
      <c r="QFA210" s="46"/>
      <c r="QFB210" s="46"/>
      <c r="QFC210" s="46"/>
      <c r="QFD210" s="46"/>
      <c r="QFE210" s="46"/>
      <c r="QFF210" s="46"/>
      <c r="QFG210" s="46"/>
      <c r="QFH210" s="46"/>
      <c r="QFI210" s="46"/>
      <c r="QFJ210" s="46"/>
      <c r="QFK210" s="46"/>
      <c r="QFL210" s="46"/>
      <c r="QFM210" s="46"/>
      <c r="QFN210" s="46"/>
      <c r="QFO210" s="46"/>
      <c r="QFP210" s="46"/>
      <c r="QFQ210" s="46"/>
      <c r="QFR210" s="46"/>
      <c r="QFS210" s="46"/>
      <c r="QFT210" s="46"/>
      <c r="QFU210" s="46"/>
      <c r="QFV210" s="46"/>
      <c r="QFW210" s="46"/>
      <c r="QFX210" s="46"/>
      <c r="QFY210" s="46"/>
      <c r="QFZ210" s="46"/>
      <c r="QGA210" s="46"/>
      <c r="QGB210" s="46"/>
      <c r="QGC210" s="46"/>
      <c r="QGD210" s="46"/>
      <c r="QGE210" s="46"/>
      <c r="QGF210" s="46"/>
      <c r="QGG210" s="46"/>
      <c r="QGH210" s="46"/>
      <c r="QGI210" s="46"/>
      <c r="QGJ210" s="46"/>
      <c r="QGK210" s="46"/>
      <c r="QGL210" s="46"/>
      <c r="QGM210" s="46"/>
      <c r="QGN210" s="46"/>
      <c r="QGO210" s="46"/>
      <c r="QGP210" s="46"/>
      <c r="QGQ210" s="46"/>
      <c r="QGR210" s="46"/>
      <c r="QGS210" s="46"/>
      <c r="QGT210" s="46"/>
      <c r="QGU210" s="46"/>
      <c r="QGV210" s="46"/>
      <c r="QGW210" s="46"/>
      <c r="QGX210" s="46"/>
      <c r="QGY210" s="46"/>
      <c r="QGZ210" s="46"/>
      <c r="QHA210" s="46"/>
      <c r="QHB210" s="46"/>
      <c r="QHC210" s="46"/>
      <c r="QHD210" s="46"/>
      <c r="QHE210" s="46"/>
      <c r="QHF210" s="46"/>
      <c r="QHG210" s="46"/>
      <c r="QHH210" s="46"/>
      <c r="QHI210" s="46"/>
      <c r="QHJ210" s="46"/>
      <c r="QHK210" s="46"/>
      <c r="QHL210" s="46"/>
      <c r="QHM210" s="46"/>
      <c r="QHN210" s="46"/>
      <c r="QHO210" s="46"/>
      <c r="QHP210" s="46"/>
      <c r="QHQ210" s="46"/>
      <c r="QHR210" s="46"/>
      <c r="QHS210" s="46"/>
      <c r="QHT210" s="46"/>
      <c r="QHU210" s="46"/>
      <c r="QHV210" s="46"/>
      <c r="QHW210" s="46"/>
      <c r="QHX210" s="46"/>
      <c r="QHY210" s="46"/>
      <c r="QHZ210" s="46"/>
      <c r="QIA210" s="46"/>
      <c r="QIB210" s="46"/>
      <c r="QIC210" s="46"/>
      <c r="QID210" s="46"/>
      <c r="QIE210" s="46"/>
      <c r="QIF210" s="46"/>
      <c r="QIG210" s="46"/>
      <c r="QIH210" s="46"/>
      <c r="QII210" s="46"/>
      <c r="QIJ210" s="46"/>
      <c r="QIK210" s="46"/>
      <c r="QIL210" s="46"/>
      <c r="QIM210" s="46"/>
      <c r="QIN210" s="46"/>
      <c r="QIO210" s="46"/>
      <c r="QIP210" s="46"/>
      <c r="QIQ210" s="46"/>
      <c r="QIR210" s="46"/>
      <c r="QIS210" s="46"/>
      <c r="QIT210" s="46"/>
      <c r="QIU210" s="46"/>
      <c r="QIV210" s="46"/>
      <c r="QIW210" s="46"/>
      <c r="QIX210" s="46"/>
      <c r="QIY210" s="46"/>
      <c r="QIZ210" s="46"/>
      <c r="QJA210" s="46"/>
      <c r="QJB210" s="46"/>
      <c r="QJC210" s="46"/>
      <c r="QJD210" s="46"/>
      <c r="QJE210" s="46"/>
      <c r="QJF210" s="46"/>
      <c r="QJG210" s="46"/>
      <c r="QJH210" s="46"/>
      <c r="QJI210" s="46"/>
      <c r="QJJ210" s="46"/>
      <c r="QJK210" s="46"/>
      <c r="QJL210" s="46"/>
      <c r="QJM210" s="46"/>
      <c r="QJN210" s="46"/>
      <c r="QJO210" s="46"/>
      <c r="QJP210" s="46"/>
      <c r="QJQ210" s="46"/>
      <c r="QJR210" s="46"/>
      <c r="QJS210" s="46"/>
      <c r="QJT210" s="46"/>
      <c r="QJU210" s="46"/>
      <c r="QJV210" s="46"/>
      <c r="QJW210" s="46"/>
      <c r="QJX210" s="46"/>
      <c r="QJY210" s="46"/>
      <c r="QJZ210" s="46"/>
      <c r="QKA210" s="46"/>
      <c r="QKB210" s="46"/>
      <c r="QKC210" s="46"/>
      <c r="QKD210" s="46"/>
      <c r="QKE210" s="46"/>
      <c r="QKF210" s="46"/>
      <c r="QKG210" s="46"/>
      <c r="QKH210" s="46"/>
      <c r="QKI210" s="46"/>
      <c r="QKJ210" s="46"/>
      <c r="QKK210" s="46"/>
      <c r="QKL210" s="46"/>
      <c r="QKM210" s="46"/>
      <c r="QKN210" s="46"/>
      <c r="QKO210" s="46"/>
      <c r="QKP210" s="46"/>
      <c r="QKQ210" s="46"/>
      <c r="QKR210" s="46"/>
      <c r="QKS210" s="46"/>
      <c r="QKT210" s="46"/>
      <c r="QKU210" s="46"/>
      <c r="QKV210" s="46"/>
      <c r="QKW210" s="46"/>
      <c r="QKX210" s="46"/>
      <c r="QKY210" s="46"/>
      <c r="QKZ210" s="46"/>
      <c r="QLA210" s="46"/>
      <c r="QLB210" s="46"/>
      <c r="QLC210" s="46"/>
      <c r="QLD210" s="46"/>
      <c r="QLE210" s="46"/>
      <c r="QLF210" s="46"/>
      <c r="QLG210" s="46"/>
      <c r="QLH210" s="46"/>
      <c r="QLI210" s="46"/>
      <c r="QLJ210" s="46"/>
      <c r="QLK210" s="46"/>
      <c r="QLL210" s="46"/>
      <c r="QLM210" s="46"/>
      <c r="QLN210" s="46"/>
      <c r="QLO210" s="46"/>
      <c r="QLP210" s="46"/>
      <c r="QLQ210" s="46"/>
      <c r="QLR210" s="46"/>
      <c r="QLS210" s="46"/>
      <c r="QLT210" s="46"/>
      <c r="QLU210" s="46"/>
      <c r="QLV210" s="46"/>
      <c r="QLW210" s="46"/>
      <c r="QLX210" s="46"/>
      <c r="QLY210" s="46"/>
      <c r="QLZ210" s="46"/>
      <c r="QMA210" s="46"/>
      <c r="QMB210" s="46"/>
      <c r="QMC210" s="46"/>
      <c r="QMD210" s="46"/>
      <c r="QME210" s="46"/>
      <c r="QMF210" s="46"/>
      <c r="QMG210" s="46"/>
      <c r="QMH210" s="46"/>
      <c r="QMI210" s="46"/>
      <c r="QMJ210" s="46"/>
      <c r="QMK210" s="46"/>
      <c r="QML210" s="46"/>
      <c r="QMM210" s="46"/>
      <c r="QMN210" s="46"/>
      <c r="QMO210" s="46"/>
      <c r="QMP210" s="46"/>
      <c r="QMQ210" s="46"/>
      <c r="QMR210" s="46"/>
      <c r="QMS210" s="46"/>
      <c r="QMT210" s="46"/>
      <c r="QMU210" s="46"/>
      <c r="QMV210" s="46"/>
      <c r="QMW210" s="46"/>
      <c r="QMX210" s="46"/>
      <c r="QMY210" s="46"/>
      <c r="QMZ210" s="46"/>
      <c r="QNA210" s="46"/>
      <c r="QNB210" s="46"/>
      <c r="QNC210" s="46"/>
      <c r="QND210" s="46"/>
      <c r="QNE210" s="46"/>
      <c r="QNF210" s="46"/>
      <c r="QNG210" s="46"/>
      <c r="QNH210" s="46"/>
      <c r="QNI210" s="46"/>
      <c r="QNJ210" s="46"/>
      <c r="QNK210" s="46"/>
      <c r="QNL210" s="46"/>
      <c r="QNM210" s="46"/>
      <c r="QNN210" s="46"/>
      <c r="QNO210" s="46"/>
      <c r="QNP210" s="46"/>
      <c r="QNQ210" s="46"/>
      <c r="QNR210" s="46"/>
      <c r="QNS210" s="46"/>
      <c r="QNT210" s="46"/>
      <c r="QNU210" s="46"/>
      <c r="QNV210" s="46"/>
      <c r="QNW210" s="46"/>
      <c r="QNX210" s="46"/>
      <c r="QNY210" s="46"/>
      <c r="QNZ210" s="46"/>
      <c r="QOA210" s="46"/>
      <c r="QOB210" s="46"/>
      <c r="QOC210" s="46"/>
      <c r="QOD210" s="46"/>
      <c r="QOE210" s="46"/>
      <c r="QOF210" s="46"/>
      <c r="QOG210" s="46"/>
      <c r="QOH210" s="46"/>
      <c r="QOI210" s="46"/>
      <c r="QOJ210" s="46"/>
      <c r="QOK210" s="46"/>
      <c r="QOL210" s="46"/>
      <c r="QOM210" s="46"/>
      <c r="QON210" s="46"/>
      <c r="QOO210" s="46"/>
      <c r="QOP210" s="46"/>
      <c r="QOQ210" s="46"/>
      <c r="QOR210" s="46"/>
      <c r="QOS210" s="46"/>
      <c r="QOT210" s="46"/>
      <c r="QOU210" s="46"/>
      <c r="QOV210" s="46"/>
      <c r="QOW210" s="46"/>
      <c r="QOX210" s="46"/>
      <c r="QOY210" s="46"/>
      <c r="QOZ210" s="46"/>
      <c r="QPA210" s="46"/>
      <c r="QPB210" s="46"/>
      <c r="QPC210" s="46"/>
      <c r="QPD210" s="46"/>
      <c r="QPE210" s="46"/>
      <c r="QPF210" s="46"/>
      <c r="QPG210" s="46"/>
      <c r="QPH210" s="46"/>
      <c r="QPI210" s="46"/>
      <c r="QPJ210" s="46"/>
      <c r="QPK210" s="46"/>
      <c r="QPL210" s="46"/>
      <c r="QPM210" s="46"/>
      <c r="QPN210" s="46"/>
      <c r="QPO210" s="46"/>
      <c r="QPP210" s="46"/>
      <c r="QPQ210" s="46"/>
      <c r="QPR210" s="46"/>
      <c r="QPS210" s="46"/>
      <c r="QPT210" s="46"/>
      <c r="QPU210" s="46"/>
      <c r="QPV210" s="46"/>
      <c r="QPW210" s="46"/>
      <c r="QPX210" s="46"/>
      <c r="QPY210" s="46"/>
      <c r="QPZ210" s="46"/>
      <c r="QQA210" s="46"/>
      <c r="QQB210" s="46"/>
      <c r="QQC210" s="46"/>
      <c r="QQD210" s="46"/>
      <c r="QQE210" s="46"/>
      <c r="QQF210" s="46"/>
      <c r="QQG210" s="46"/>
      <c r="QQH210" s="46"/>
      <c r="QQI210" s="46"/>
      <c r="QQJ210" s="46"/>
      <c r="QQK210" s="46"/>
      <c r="QQL210" s="46"/>
      <c r="QQM210" s="46"/>
      <c r="QQN210" s="46"/>
      <c r="QQO210" s="46"/>
      <c r="QQP210" s="46"/>
      <c r="QQQ210" s="46"/>
      <c r="QQR210" s="46"/>
      <c r="QQS210" s="46"/>
      <c r="QQT210" s="46"/>
      <c r="QQU210" s="46"/>
      <c r="QQV210" s="46"/>
      <c r="QQW210" s="46"/>
      <c r="QQX210" s="46"/>
      <c r="QQY210" s="46"/>
      <c r="QQZ210" s="46"/>
      <c r="QRA210" s="46"/>
      <c r="QRB210" s="46"/>
      <c r="QRC210" s="46"/>
      <c r="QRD210" s="46"/>
      <c r="QRE210" s="46"/>
      <c r="QRF210" s="46"/>
      <c r="QRG210" s="46"/>
      <c r="QRH210" s="46"/>
      <c r="QRI210" s="46"/>
      <c r="QRJ210" s="46"/>
      <c r="QRK210" s="46"/>
      <c r="QRL210" s="46"/>
      <c r="QRM210" s="46"/>
      <c r="QRN210" s="46"/>
      <c r="QRO210" s="46"/>
      <c r="QRP210" s="46"/>
      <c r="QRQ210" s="46"/>
      <c r="QRR210" s="46"/>
      <c r="QRS210" s="46"/>
      <c r="QRT210" s="46"/>
      <c r="QRU210" s="46"/>
      <c r="QRV210" s="46"/>
      <c r="QRW210" s="46"/>
      <c r="QRX210" s="46"/>
      <c r="QRY210" s="46"/>
      <c r="QRZ210" s="46"/>
      <c r="QSA210" s="46"/>
      <c r="QSB210" s="46"/>
      <c r="QSC210" s="46"/>
      <c r="QSD210" s="46"/>
      <c r="QSE210" s="46"/>
      <c r="QSF210" s="46"/>
      <c r="QSG210" s="46"/>
      <c r="QSH210" s="46"/>
      <c r="QSI210" s="46"/>
      <c r="QSJ210" s="46"/>
      <c r="QSK210" s="46"/>
      <c r="QSL210" s="46"/>
      <c r="QSM210" s="46"/>
      <c r="QSN210" s="46"/>
      <c r="QSO210" s="46"/>
      <c r="QSP210" s="46"/>
      <c r="QSQ210" s="46"/>
      <c r="QSR210" s="46"/>
      <c r="QSS210" s="46"/>
      <c r="QST210" s="46"/>
      <c r="QSU210" s="46"/>
      <c r="QSV210" s="46"/>
      <c r="QSW210" s="46"/>
      <c r="QSX210" s="46"/>
      <c r="QSY210" s="46"/>
      <c r="QSZ210" s="46"/>
      <c r="QTA210" s="46"/>
      <c r="QTB210" s="46"/>
      <c r="QTC210" s="46"/>
      <c r="QTD210" s="46"/>
      <c r="QTE210" s="46"/>
      <c r="QTF210" s="46"/>
      <c r="QTG210" s="46"/>
      <c r="QTH210" s="46"/>
      <c r="QTI210" s="46"/>
      <c r="QTJ210" s="46"/>
      <c r="QTK210" s="46"/>
      <c r="QTL210" s="46"/>
      <c r="QTM210" s="46"/>
      <c r="QTN210" s="46"/>
      <c r="QTO210" s="46"/>
      <c r="QTP210" s="46"/>
      <c r="QTQ210" s="46"/>
      <c r="QTR210" s="46"/>
      <c r="QTS210" s="46"/>
      <c r="QTT210" s="46"/>
      <c r="QTU210" s="46"/>
      <c r="QTV210" s="46"/>
      <c r="QTW210" s="46"/>
      <c r="QTX210" s="46"/>
      <c r="QTY210" s="46"/>
      <c r="QTZ210" s="46"/>
      <c r="QUA210" s="46"/>
      <c r="QUB210" s="46"/>
      <c r="QUC210" s="46"/>
      <c r="QUD210" s="46"/>
      <c r="QUE210" s="46"/>
      <c r="QUF210" s="46"/>
      <c r="QUG210" s="46"/>
      <c r="QUH210" s="46"/>
      <c r="QUI210" s="46"/>
      <c r="QUJ210" s="46"/>
      <c r="QUK210" s="46"/>
      <c r="QUL210" s="46"/>
      <c r="QUM210" s="46"/>
      <c r="QUN210" s="46"/>
      <c r="QUO210" s="46"/>
      <c r="QUP210" s="46"/>
      <c r="QUQ210" s="46"/>
      <c r="QUR210" s="46"/>
      <c r="QUS210" s="46"/>
      <c r="QUT210" s="46"/>
      <c r="QUU210" s="46"/>
      <c r="QUV210" s="46"/>
      <c r="QUW210" s="46"/>
      <c r="QUX210" s="46"/>
      <c r="QUY210" s="46"/>
      <c r="QUZ210" s="46"/>
      <c r="QVA210" s="46"/>
      <c r="QVB210" s="46"/>
      <c r="QVC210" s="46"/>
      <c r="QVD210" s="46"/>
      <c r="QVE210" s="46"/>
      <c r="QVF210" s="46"/>
      <c r="QVG210" s="46"/>
      <c r="QVH210" s="46"/>
      <c r="QVI210" s="46"/>
      <c r="QVJ210" s="46"/>
      <c r="QVK210" s="46"/>
      <c r="QVL210" s="46"/>
      <c r="QVM210" s="46"/>
      <c r="QVN210" s="46"/>
      <c r="QVO210" s="46"/>
      <c r="QVP210" s="46"/>
      <c r="QVQ210" s="46"/>
      <c r="QVR210" s="46"/>
      <c r="QVS210" s="46"/>
      <c r="QVT210" s="46"/>
      <c r="QVU210" s="46"/>
      <c r="QVV210" s="46"/>
      <c r="QVW210" s="46"/>
      <c r="QVX210" s="46"/>
      <c r="QVY210" s="46"/>
      <c r="QVZ210" s="46"/>
      <c r="QWA210" s="46"/>
      <c r="QWB210" s="46"/>
      <c r="QWC210" s="46"/>
      <c r="QWD210" s="46"/>
      <c r="QWE210" s="46"/>
      <c r="QWF210" s="46"/>
      <c r="QWG210" s="46"/>
      <c r="QWH210" s="46"/>
      <c r="QWI210" s="46"/>
      <c r="QWJ210" s="46"/>
      <c r="QWK210" s="46"/>
      <c r="QWL210" s="46"/>
      <c r="QWM210" s="46"/>
      <c r="QWN210" s="46"/>
      <c r="QWO210" s="46"/>
      <c r="QWP210" s="46"/>
      <c r="QWQ210" s="46"/>
      <c r="QWR210" s="46"/>
      <c r="QWS210" s="46"/>
      <c r="QWT210" s="46"/>
      <c r="QWU210" s="46"/>
      <c r="QWV210" s="46"/>
      <c r="QWW210" s="46"/>
      <c r="QWX210" s="46"/>
      <c r="QWY210" s="46"/>
      <c r="QWZ210" s="46"/>
      <c r="QXA210" s="46"/>
      <c r="QXB210" s="46"/>
      <c r="QXC210" s="46"/>
      <c r="QXD210" s="46"/>
      <c r="QXE210" s="46"/>
      <c r="QXF210" s="46"/>
      <c r="QXG210" s="46"/>
      <c r="QXH210" s="46"/>
      <c r="QXI210" s="46"/>
      <c r="QXJ210" s="46"/>
      <c r="QXK210" s="46"/>
      <c r="QXL210" s="46"/>
      <c r="QXM210" s="46"/>
      <c r="QXN210" s="46"/>
      <c r="QXO210" s="46"/>
      <c r="QXP210" s="46"/>
      <c r="QXQ210" s="46"/>
      <c r="QXR210" s="46"/>
      <c r="QXS210" s="46"/>
      <c r="QXT210" s="46"/>
      <c r="QXU210" s="46"/>
      <c r="QXV210" s="46"/>
      <c r="QXW210" s="46"/>
      <c r="QXX210" s="46"/>
      <c r="QXY210" s="46"/>
      <c r="QXZ210" s="46"/>
      <c r="QYA210" s="46"/>
      <c r="QYB210" s="46"/>
      <c r="QYC210" s="46"/>
      <c r="QYD210" s="46"/>
      <c r="QYE210" s="46"/>
      <c r="QYF210" s="46"/>
      <c r="QYG210" s="46"/>
      <c r="QYH210" s="46"/>
      <c r="QYI210" s="46"/>
      <c r="QYJ210" s="46"/>
      <c r="QYK210" s="46"/>
      <c r="QYL210" s="46"/>
      <c r="QYM210" s="46"/>
      <c r="QYN210" s="46"/>
      <c r="QYO210" s="46"/>
      <c r="QYP210" s="46"/>
      <c r="QYQ210" s="46"/>
      <c r="QYR210" s="46"/>
      <c r="QYS210" s="46"/>
      <c r="QYT210" s="46"/>
      <c r="QYU210" s="46"/>
      <c r="QYV210" s="46"/>
      <c r="QYW210" s="46"/>
      <c r="QYX210" s="46"/>
      <c r="QYY210" s="46"/>
      <c r="QYZ210" s="46"/>
      <c r="QZA210" s="46"/>
      <c r="QZB210" s="46"/>
      <c r="QZC210" s="46"/>
      <c r="QZD210" s="46"/>
      <c r="QZE210" s="46"/>
      <c r="QZF210" s="46"/>
      <c r="QZG210" s="46"/>
      <c r="QZH210" s="46"/>
      <c r="QZI210" s="46"/>
      <c r="QZJ210" s="46"/>
      <c r="QZK210" s="46"/>
      <c r="QZL210" s="46"/>
      <c r="QZM210" s="46"/>
      <c r="QZN210" s="46"/>
      <c r="QZO210" s="46"/>
      <c r="QZP210" s="46"/>
      <c r="QZQ210" s="46"/>
      <c r="QZR210" s="46"/>
      <c r="QZS210" s="46"/>
      <c r="QZT210" s="46"/>
      <c r="QZU210" s="46"/>
      <c r="QZV210" s="46"/>
      <c r="QZW210" s="46"/>
      <c r="QZX210" s="46"/>
      <c r="QZY210" s="46"/>
      <c r="QZZ210" s="46"/>
      <c r="RAA210" s="46"/>
      <c r="RAB210" s="46"/>
      <c r="RAC210" s="46"/>
      <c r="RAD210" s="46"/>
      <c r="RAE210" s="46"/>
      <c r="RAF210" s="46"/>
      <c r="RAG210" s="46"/>
      <c r="RAH210" s="46"/>
      <c r="RAI210" s="46"/>
      <c r="RAJ210" s="46"/>
      <c r="RAK210" s="46"/>
      <c r="RAL210" s="46"/>
      <c r="RAM210" s="46"/>
      <c r="RAN210" s="46"/>
      <c r="RAO210" s="46"/>
      <c r="RAP210" s="46"/>
      <c r="RAQ210" s="46"/>
      <c r="RAR210" s="46"/>
      <c r="RAS210" s="46"/>
      <c r="RAT210" s="46"/>
      <c r="RAU210" s="46"/>
      <c r="RAV210" s="46"/>
      <c r="RAW210" s="46"/>
      <c r="RAX210" s="46"/>
      <c r="RAY210" s="46"/>
      <c r="RAZ210" s="46"/>
      <c r="RBA210" s="46"/>
      <c r="RBB210" s="46"/>
      <c r="RBC210" s="46"/>
      <c r="RBD210" s="46"/>
      <c r="RBE210" s="46"/>
      <c r="RBF210" s="46"/>
      <c r="RBG210" s="46"/>
      <c r="RBH210" s="46"/>
      <c r="RBI210" s="46"/>
      <c r="RBJ210" s="46"/>
      <c r="RBK210" s="46"/>
      <c r="RBL210" s="46"/>
      <c r="RBM210" s="46"/>
      <c r="RBN210" s="46"/>
      <c r="RBO210" s="46"/>
      <c r="RBP210" s="46"/>
      <c r="RBQ210" s="46"/>
      <c r="RBR210" s="46"/>
      <c r="RBS210" s="46"/>
      <c r="RBT210" s="46"/>
      <c r="RBU210" s="46"/>
      <c r="RBV210" s="46"/>
      <c r="RBW210" s="46"/>
      <c r="RBX210" s="46"/>
      <c r="RBY210" s="46"/>
      <c r="RBZ210" s="46"/>
      <c r="RCA210" s="46"/>
      <c r="RCB210" s="46"/>
      <c r="RCC210" s="46"/>
      <c r="RCD210" s="46"/>
      <c r="RCE210" s="46"/>
      <c r="RCF210" s="46"/>
      <c r="RCG210" s="46"/>
      <c r="RCH210" s="46"/>
      <c r="RCI210" s="46"/>
      <c r="RCJ210" s="46"/>
      <c r="RCK210" s="46"/>
      <c r="RCL210" s="46"/>
      <c r="RCM210" s="46"/>
      <c r="RCN210" s="46"/>
      <c r="RCO210" s="46"/>
      <c r="RCP210" s="46"/>
      <c r="RCQ210" s="46"/>
      <c r="RCR210" s="46"/>
      <c r="RCS210" s="46"/>
      <c r="RCT210" s="46"/>
      <c r="RCU210" s="46"/>
      <c r="RCV210" s="46"/>
      <c r="RCW210" s="46"/>
      <c r="RCX210" s="46"/>
      <c r="RCY210" s="46"/>
      <c r="RCZ210" s="46"/>
      <c r="RDA210" s="46"/>
      <c r="RDB210" s="46"/>
      <c r="RDC210" s="46"/>
      <c r="RDD210" s="46"/>
      <c r="RDE210" s="46"/>
      <c r="RDF210" s="46"/>
      <c r="RDG210" s="46"/>
      <c r="RDH210" s="46"/>
      <c r="RDI210" s="46"/>
      <c r="RDJ210" s="46"/>
      <c r="RDK210" s="46"/>
      <c r="RDL210" s="46"/>
      <c r="RDM210" s="46"/>
      <c r="RDN210" s="46"/>
      <c r="RDO210" s="46"/>
      <c r="RDP210" s="46"/>
      <c r="RDQ210" s="46"/>
      <c r="RDR210" s="46"/>
      <c r="RDS210" s="46"/>
      <c r="RDT210" s="46"/>
      <c r="RDU210" s="46"/>
      <c r="RDV210" s="46"/>
      <c r="RDW210" s="46"/>
      <c r="RDX210" s="46"/>
      <c r="RDY210" s="46"/>
      <c r="RDZ210" s="46"/>
      <c r="REA210" s="46"/>
      <c r="REB210" s="46"/>
      <c r="REC210" s="46"/>
      <c r="RED210" s="46"/>
      <c r="REE210" s="46"/>
      <c r="REF210" s="46"/>
      <c r="REG210" s="46"/>
      <c r="REH210" s="46"/>
      <c r="REI210" s="46"/>
      <c r="REJ210" s="46"/>
      <c r="REK210" s="46"/>
      <c r="REL210" s="46"/>
      <c r="REM210" s="46"/>
      <c r="REN210" s="46"/>
      <c r="REO210" s="46"/>
      <c r="REP210" s="46"/>
      <c r="REQ210" s="46"/>
      <c r="RER210" s="46"/>
      <c r="RES210" s="46"/>
      <c r="RET210" s="46"/>
      <c r="REU210" s="46"/>
      <c r="REV210" s="46"/>
      <c r="REW210" s="46"/>
      <c r="REX210" s="46"/>
      <c r="REY210" s="46"/>
      <c r="REZ210" s="46"/>
      <c r="RFA210" s="46"/>
      <c r="RFB210" s="46"/>
      <c r="RFC210" s="46"/>
      <c r="RFD210" s="46"/>
      <c r="RFE210" s="46"/>
      <c r="RFF210" s="46"/>
      <c r="RFG210" s="46"/>
      <c r="RFH210" s="46"/>
      <c r="RFI210" s="46"/>
      <c r="RFJ210" s="46"/>
      <c r="RFK210" s="46"/>
      <c r="RFL210" s="46"/>
      <c r="RFM210" s="46"/>
      <c r="RFN210" s="46"/>
      <c r="RFO210" s="46"/>
      <c r="RFP210" s="46"/>
      <c r="RFQ210" s="46"/>
      <c r="RFR210" s="46"/>
      <c r="RFS210" s="46"/>
      <c r="RFT210" s="46"/>
      <c r="RFU210" s="46"/>
      <c r="RFV210" s="46"/>
      <c r="RFW210" s="46"/>
      <c r="RFX210" s="46"/>
      <c r="RFY210" s="46"/>
      <c r="RFZ210" s="46"/>
      <c r="RGA210" s="46"/>
      <c r="RGB210" s="46"/>
      <c r="RGC210" s="46"/>
      <c r="RGD210" s="46"/>
      <c r="RGE210" s="46"/>
      <c r="RGF210" s="46"/>
      <c r="RGG210" s="46"/>
      <c r="RGH210" s="46"/>
      <c r="RGI210" s="46"/>
      <c r="RGJ210" s="46"/>
      <c r="RGK210" s="46"/>
      <c r="RGL210" s="46"/>
      <c r="RGM210" s="46"/>
      <c r="RGN210" s="46"/>
      <c r="RGO210" s="46"/>
      <c r="RGP210" s="46"/>
      <c r="RGQ210" s="46"/>
      <c r="RGR210" s="46"/>
      <c r="RGS210" s="46"/>
      <c r="RGT210" s="46"/>
      <c r="RGU210" s="46"/>
      <c r="RGV210" s="46"/>
      <c r="RGW210" s="46"/>
      <c r="RGX210" s="46"/>
      <c r="RGY210" s="46"/>
      <c r="RGZ210" s="46"/>
      <c r="RHA210" s="46"/>
      <c r="RHB210" s="46"/>
      <c r="RHC210" s="46"/>
      <c r="RHD210" s="46"/>
      <c r="RHE210" s="46"/>
      <c r="RHF210" s="46"/>
      <c r="RHG210" s="46"/>
      <c r="RHH210" s="46"/>
      <c r="RHI210" s="46"/>
      <c r="RHJ210" s="46"/>
      <c r="RHK210" s="46"/>
      <c r="RHL210" s="46"/>
      <c r="RHM210" s="46"/>
      <c r="RHN210" s="46"/>
      <c r="RHO210" s="46"/>
      <c r="RHP210" s="46"/>
      <c r="RHQ210" s="46"/>
      <c r="RHR210" s="46"/>
      <c r="RHS210" s="46"/>
      <c r="RHT210" s="46"/>
      <c r="RHU210" s="46"/>
      <c r="RHV210" s="46"/>
      <c r="RHW210" s="46"/>
      <c r="RHX210" s="46"/>
      <c r="RHY210" s="46"/>
      <c r="RHZ210" s="46"/>
      <c r="RIA210" s="46"/>
      <c r="RIB210" s="46"/>
      <c r="RIC210" s="46"/>
      <c r="RID210" s="46"/>
      <c r="RIE210" s="46"/>
      <c r="RIF210" s="46"/>
      <c r="RIG210" s="46"/>
      <c r="RIH210" s="46"/>
      <c r="RII210" s="46"/>
      <c r="RIJ210" s="46"/>
      <c r="RIK210" s="46"/>
      <c r="RIL210" s="46"/>
      <c r="RIM210" s="46"/>
      <c r="RIN210" s="46"/>
      <c r="RIO210" s="46"/>
      <c r="RIP210" s="46"/>
      <c r="RIQ210" s="46"/>
      <c r="RIR210" s="46"/>
      <c r="RIS210" s="46"/>
      <c r="RIT210" s="46"/>
      <c r="RIU210" s="46"/>
      <c r="RIV210" s="46"/>
      <c r="RIW210" s="46"/>
      <c r="RIX210" s="46"/>
      <c r="RIY210" s="46"/>
      <c r="RIZ210" s="46"/>
      <c r="RJA210" s="46"/>
      <c r="RJB210" s="46"/>
      <c r="RJC210" s="46"/>
      <c r="RJD210" s="46"/>
      <c r="RJE210" s="46"/>
      <c r="RJF210" s="46"/>
      <c r="RJG210" s="46"/>
      <c r="RJH210" s="46"/>
      <c r="RJI210" s="46"/>
      <c r="RJJ210" s="46"/>
      <c r="RJK210" s="46"/>
      <c r="RJL210" s="46"/>
      <c r="RJM210" s="46"/>
      <c r="RJN210" s="46"/>
      <c r="RJO210" s="46"/>
      <c r="RJP210" s="46"/>
      <c r="RJQ210" s="46"/>
      <c r="RJR210" s="46"/>
      <c r="RJS210" s="46"/>
      <c r="RJT210" s="46"/>
      <c r="RJU210" s="46"/>
      <c r="RJV210" s="46"/>
      <c r="RJW210" s="46"/>
      <c r="RJX210" s="46"/>
      <c r="RJY210" s="46"/>
      <c r="RJZ210" s="46"/>
      <c r="RKA210" s="46"/>
      <c r="RKB210" s="46"/>
      <c r="RKC210" s="46"/>
      <c r="RKD210" s="46"/>
      <c r="RKE210" s="46"/>
      <c r="RKF210" s="46"/>
      <c r="RKG210" s="46"/>
      <c r="RKH210" s="46"/>
      <c r="RKI210" s="46"/>
      <c r="RKJ210" s="46"/>
      <c r="RKK210" s="46"/>
      <c r="RKL210" s="46"/>
      <c r="RKM210" s="46"/>
      <c r="RKN210" s="46"/>
      <c r="RKO210" s="46"/>
      <c r="RKP210" s="46"/>
      <c r="RKQ210" s="46"/>
      <c r="RKR210" s="46"/>
      <c r="RKS210" s="46"/>
      <c r="RKT210" s="46"/>
      <c r="RKU210" s="46"/>
      <c r="RKV210" s="46"/>
      <c r="RKW210" s="46"/>
      <c r="RKX210" s="46"/>
      <c r="RKY210" s="46"/>
      <c r="RKZ210" s="46"/>
      <c r="RLA210" s="46"/>
      <c r="RLB210" s="46"/>
      <c r="RLC210" s="46"/>
      <c r="RLD210" s="46"/>
      <c r="RLE210" s="46"/>
      <c r="RLF210" s="46"/>
      <c r="RLG210" s="46"/>
      <c r="RLH210" s="46"/>
      <c r="RLI210" s="46"/>
      <c r="RLJ210" s="46"/>
      <c r="RLK210" s="46"/>
      <c r="RLL210" s="46"/>
      <c r="RLM210" s="46"/>
      <c r="RLN210" s="46"/>
      <c r="RLO210" s="46"/>
      <c r="RLP210" s="46"/>
      <c r="RLQ210" s="46"/>
      <c r="RLR210" s="46"/>
      <c r="RLS210" s="46"/>
      <c r="RLT210" s="46"/>
      <c r="RLU210" s="46"/>
      <c r="RLV210" s="46"/>
      <c r="RLW210" s="46"/>
      <c r="RLX210" s="46"/>
      <c r="RLY210" s="46"/>
      <c r="RLZ210" s="46"/>
      <c r="RMA210" s="46"/>
      <c r="RMB210" s="46"/>
      <c r="RMC210" s="46"/>
      <c r="RMD210" s="46"/>
      <c r="RME210" s="46"/>
      <c r="RMF210" s="46"/>
      <c r="RMG210" s="46"/>
      <c r="RMH210" s="46"/>
      <c r="RMI210" s="46"/>
      <c r="RMJ210" s="46"/>
      <c r="RMK210" s="46"/>
      <c r="RML210" s="46"/>
      <c r="RMM210" s="46"/>
      <c r="RMN210" s="46"/>
      <c r="RMO210" s="46"/>
      <c r="RMP210" s="46"/>
      <c r="RMQ210" s="46"/>
      <c r="RMR210" s="46"/>
      <c r="RMS210" s="46"/>
      <c r="RMT210" s="46"/>
      <c r="RMU210" s="46"/>
      <c r="RMV210" s="46"/>
      <c r="RMW210" s="46"/>
      <c r="RMX210" s="46"/>
      <c r="RMY210" s="46"/>
      <c r="RMZ210" s="46"/>
      <c r="RNA210" s="46"/>
      <c r="RNB210" s="46"/>
      <c r="RNC210" s="46"/>
      <c r="RND210" s="46"/>
      <c r="RNE210" s="46"/>
      <c r="RNF210" s="46"/>
      <c r="RNG210" s="46"/>
      <c r="RNH210" s="46"/>
      <c r="RNI210" s="46"/>
      <c r="RNJ210" s="46"/>
      <c r="RNK210" s="46"/>
      <c r="RNL210" s="46"/>
      <c r="RNM210" s="46"/>
      <c r="RNN210" s="46"/>
      <c r="RNO210" s="46"/>
      <c r="RNP210" s="46"/>
      <c r="RNQ210" s="46"/>
      <c r="RNR210" s="46"/>
      <c r="RNS210" s="46"/>
      <c r="RNT210" s="46"/>
      <c r="RNU210" s="46"/>
      <c r="RNV210" s="46"/>
      <c r="RNW210" s="46"/>
      <c r="RNX210" s="46"/>
      <c r="RNY210" s="46"/>
      <c r="RNZ210" s="46"/>
      <c r="ROA210" s="46"/>
      <c r="ROB210" s="46"/>
      <c r="ROC210" s="46"/>
      <c r="ROD210" s="46"/>
      <c r="ROE210" s="46"/>
      <c r="ROF210" s="46"/>
      <c r="ROG210" s="46"/>
      <c r="ROH210" s="46"/>
      <c r="ROI210" s="46"/>
      <c r="ROJ210" s="46"/>
      <c r="ROK210" s="46"/>
      <c r="ROL210" s="46"/>
      <c r="ROM210" s="46"/>
      <c r="RON210" s="46"/>
      <c r="ROO210" s="46"/>
      <c r="ROP210" s="46"/>
      <c r="ROQ210" s="46"/>
      <c r="ROR210" s="46"/>
      <c r="ROS210" s="46"/>
      <c r="ROT210" s="46"/>
      <c r="ROU210" s="46"/>
      <c r="ROV210" s="46"/>
      <c r="ROW210" s="46"/>
      <c r="ROX210" s="46"/>
      <c r="ROY210" s="46"/>
      <c r="ROZ210" s="46"/>
      <c r="RPA210" s="46"/>
      <c r="RPB210" s="46"/>
      <c r="RPC210" s="46"/>
      <c r="RPD210" s="46"/>
      <c r="RPE210" s="46"/>
      <c r="RPF210" s="46"/>
      <c r="RPG210" s="46"/>
      <c r="RPH210" s="46"/>
      <c r="RPI210" s="46"/>
      <c r="RPJ210" s="46"/>
      <c r="RPK210" s="46"/>
      <c r="RPL210" s="46"/>
      <c r="RPM210" s="46"/>
      <c r="RPN210" s="46"/>
      <c r="RPO210" s="46"/>
      <c r="RPP210" s="46"/>
      <c r="RPQ210" s="46"/>
      <c r="RPR210" s="46"/>
      <c r="RPS210" s="46"/>
      <c r="RPT210" s="46"/>
      <c r="RPU210" s="46"/>
      <c r="RPV210" s="46"/>
      <c r="RPW210" s="46"/>
      <c r="RPX210" s="46"/>
      <c r="RPY210" s="46"/>
      <c r="RPZ210" s="46"/>
      <c r="RQA210" s="46"/>
      <c r="RQB210" s="46"/>
      <c r="RQC210" s="46"/>
      <c r="RQD210" s="46"/>
      <c r="RQE210" s="46"/>
      <c r="RQF210" s="46"/>
      <c r="RQG210" s="46"/>
      <c r="RQH210" s="46"/>
      <c r="RQI210" s="46"/>
      <c r="RQJ210" s="46"/>
      <c r="RQK210" s="46"/>
      <c r="RQL210" s="46"/>
      <c r="RQM210" s="46"/>
      <c r="RQN210" s="46"/>
      <c r="RQO210" s="46"/>
      <c r="RQP210" s="46"/>
      <c r="RQQ210" s="46"/>
      <c r="RQR210" s="46"/>
      <c r="RQS210" s="46"/>
      <c r="RQT210" s="46"/>
      <c r="RQU210" s="46"/>
      <c r="RQV210" s="46"/>
      <c r="RQW210" s="46"/>
      <c r="RQX210" s="46"/>
      <c r="RQY210" s="46"/>
      <c r="RQZ210" s="46"/>
      <c r="RRA210" s="46"/>
      <c r="RRB210" s="46"/>
      <c r="RRC210" s="46"/>
      <c r="RRD210" s="46"/>
      <c r="RRE210" s="46"/>
      <c r="RRF210" s="46"/>
      <c r="RRG210" s="46"/>
      <c r="RRH210" s="46"/>
      <c r="RRI210" s="46"/>
      <c r="RRJ210" s="46"/>
      <c r="RRK210" s="46"/>
      <c r="RRL210" s="46"/>
      <c r="RRM210" s="46"/>
      <c r="RRN210" s="46"/>
      <c r="RRO210" s="46"/>
      <c r="RRP210" s="46"/>
      <c r="RRQ210" s="46"/>
      <c r="RRR210" s="46"/>
      <c r="RRS210" s="46"/>
      <c r="RRT210" s="46"/>
      <c r="RRU210" s="46"/>
      <c r="RRV210" s="46"/>
      <c r="RRW210" s="46"/>
      <c r="RRX210" s="46"/>
      <c r="RRY210" s="46"/>
      <c r="RRZ210" s="46"/>
      <c r="RSA210" s="46"/>
      <c r="RSB210" s="46"/>
      <c r="RSC210" s="46"/>
      <c r="RSD210" s="46"/>
      <c r="RSE210" s="46"/>
      <c r="RSF210" s="46"/>
      <c r="RSG210" s="46"/>
      <c r="RSH210" s="46"/>
      <c r="RSI210" s="46"/>
      <c r="RSJ210" s="46"/>
      <c r="RSK210" s="46"/>
      <c r="RSL210" s="46"/>
      <c r="RSM210" s="46"/>
      <c r="RSN210" s="46"/>
      <c r="RSO210" s="46"/>
      <c r="RSP210" s="46"/>
      <c r="RSQ210" s="46"/>
      <c r="RSR210" s="46"/>
      <c r="RSS210" s="46"/>
      <c r="RST210" s="46"/>
      <c r="RSU210" s="46"/>
      <c r="RSV210" s="46"/>
      <c r="RSW210" s="46"/>
      <c r="RSX210" s="46"/>
      <c r="RSY210" s="46"/>
      <c r="RSZ210" s="46"/>
      <c r="RTA210" s="46"/>
      <c r="RTB210" s="46"/>
      <c r="RTC210" s="46"/>
      <c r="RTD210" s="46"/>
      <c r="RTE210" s="46"/>
      <c r="RTF210" s="46"/>
      <c r="RTG210" s="46"/>
      <c r="RTH210" s="46"/>
      <c r="RTI210" s="46"/>
      <c r="RTJ210" s="46"/>
      <c r="RTK210" s="46"/>
      <c r="RTL210" s="46"/>
      <c r="RTM210" s="46"/>
      <c r="RTN210" s="46"/>
      <c r="RTO210" s="46"/>
      <c r="RTP210" s="46"/>
      <c r="RTQ210" s="46"/>
      <c r="RTR210" s="46"/>
      <c r="RTS210" s="46"/>
      <c r="RTT210" s="46"/>
      <c r="RTU210" s="46"/>
      <c r="RTV210" s="46"/>
      <c r="RTW210" s="46"/>
      <c r="RTX210" s="46"/>
      <c r="RTY210" s="46"/>
      <c r="RTZ210" s="46"/>
      <c r="RUA210" s="46"/>
      <c r="RUB210" s="46"/>
      <c r="RUC210" s="46"/>
      <c r="RUD210" s="46"/>
      <c r="RUE210" s="46"/>
      <c r="RUF210" s="46"/>
      <c r="RUG210" s="46"/>
      <c r="RUH210" s="46"/>
      <c r="RUI210" s="46"/>
      <c r="RUJ210" s="46"/>
      <c r="RUK210" s="46"/>
      <c r="RUL210" s="46"/>
      <c r="RUM210" s="46"/>
      <c r="RUN210" s="46"/>
      <c r="RUO210" s="46"/>
      <c r="RUP210" s="46"/>
      <c r="RUQ210" s="46"/>
      <c r="RUR210" s="46"/>
      <c r="RUS210" s="46"/>
      <c r="RUT210" s="46"/>
      <c r="RUU210" s="46"/>
      <c r="RUV210" s="46"/>
      <c r="RUW210" s="46"/>
      <c r="RUX210" s="46"/>
      <c r="RUY210" s="46"/>
      <c r="RUZ210" s="46"/>
      <c r="RVA210" s="46"/>
      <c r="RVB210" s="46"/>
      <c r="RVC210" s="46"/>
      <c r="RVD210" s="46"/>
      <c r="RVE210" s="46"/>
      <c r="RVF210" s="46"/>
      <c r="RVG210" s="46"/>
      <c r="RVH210" s="46"/>
      <c r="RVI210" s="46"/>
      <c r="RVJ210" s="46"/>
      <c r="RVK210" s="46"/>
      <c r="RVL210" s="46"/>
      <c r="RVM210" s="46"/>
      <c r="RVN210" s="46"/>
      <c r="RVO210" s="46"/>
      <c r="RVP210" s="46"/>
      <c r="RVQ210" s="46"/>
      <c r="RVR210" s="46"/>
      <c r="RVS210" s="46"/>
      <c r="RVT210" s="46"/>
      <c r="RVU210" s="46"/>
      <c r="RVV210" s="46"/>
      <c r="RVW210" s="46"/>
      <c r="RVX210" s="46"/>
      <c r="RVY210" s="46"/>
      <c r="RVZ210" s="46"/>
      <c r="RWA210" s="46"/>
      <c r="RWB210" s="46"/>
      <c r="RWC210" s="46"/>
      <c r="RWD210" s="46"/>
      <c r="RWE210" s="46"/>
      <c r="RWF210" s="46"/>
      <c r="RWG210" s="46"/>
      <c r="RWH210" s="46"/>
      <c r="RWI210" s="46"/>
      <c r="RWJ210" s="46"/>
      <c r="RWK210" s="46"/>
      <c r="RWL210" s="46"/>
      <c r="RWM210" s="46"/>
      <c r="RWN210" s="46"/>
      <c r="RWO210" s="46"/>
      <c r="RWP210" s="46"/>
      <c r="RWQ210" s="46"/>
      <c r="RWR210" s="46"/>
      <c r="RWS210" s="46"/>
      <c r="RWT210" s="46"/>
      <c r="RWU210" s="46"/>
      <c r="RWV210" s="46"/>
      <c r="RWW210" s="46"/>
      <c r="RWX210" s="46"/>
      <c r="RWY210" s="46"/>
      <c r="RWZ210" s="46"/>
      <c r="RXA210" s="46"/>
      <c r="RXB210" s="46"/>
      <c r="RXC210" s="46"/>
      <c r="RXD210" s="46"/>
      <c r="RXE210" s="46"/>
      <c r="RXF210" s="46"/>
      <c r="RXG210" s="46"/>
      <c r="RXH210" s="46"/>
      <c r="RXI210" s="46"/>
      <c r="RXJ210" s="46"/>
      <c r="RXK210" s="46"/>
      <c r="RXL210" s="46"/>
      <c r="RXM210" s="46"/>
      <c r="RXN210" s="46"/>
      <c r="RXO210" s="46"/>
      <c r="RXP210" s="46"/>
      <c r="RXQ210" s="46"/>
      <c r="RXR210" s="46"/>
      <c r="RXS210" s="46"/>
      <c r="RXT210" s="46"/>
      <c r="RXU210" s="46"/>
      <c r="RXV210" s="46"/>
      <c r="RXW210" s="46"/>
      <c r="RXX210" s="46"/>
      <c r="RXY210" s="46"/>
      <c r="RXZ210" s="46"/>
      <c r="RYA210" s="46"/>
      <c r="RYB210" s="46"/>
      <c r="RYC210" s="46"/>
      <c r="RYD210" s="46"/>
      <c r="RYE210" s="46"/>
      <c r="RYF210" s="46"/>
      <c r="RYG210" s="46"/>
      <c r="RYH210" s="46"/>
      <c r="RYI210" s="46"/>
      <c r="RYJ210" s="46"/>
      <c r="RYK210" s="46"/>
      <c r="RYL210" s="46"/>
      <c r="RYM210" s="46"/>
      <c r="RYN210" s="46"/>
      <c r="RYO210" s="46"/>
      <c r="RYP210" s="46"/>
      <c r="RYQ210" s="46"/>
      <c r="RYR210" s="46"/>
      <c r="RYS210" s="46"/>
      <c r="RYT210" s="46"/>
      <c r="RYU210" s="46"/>
      <c r="RYV210" s="46"/>
      <c r="RYW210" s="46"/>
      <c r="RYX210" s="46"/>
      <c r="RYY210" s="46"/>
      <c r="RYZ210" s="46"/>
      <c r="RZA210" s="46"/>
      <c r="RZB210" s="46"/>
      <c r="RZC210" s="46"/>
      <c r="RZD210" s="46"/>
      <c r="RZE210" s="46"/>
      <c r="RZF210" s="46"/>
      <c r="RZG210" s="46"/>
      <c r="RZH210" s="46"/>
      <c r="RZI210" s="46"/>
      <c r="RZJ210" s="46"/>
      <c r="RZK210" s="46"/>
      <c r="RZL210" s="46"/>
      <c r="RZM210" s="46"/>
      <c r="RZN210" s="46"/>
      <c r="RZO210" s="46"/>
      <c r="RZP210" s="46"/>
      <c r="RZQ210" s="46"/>
      <c r="RZR210" s="46"/>
      <c r="RZS210" s="46"/>
      <c r="RZT210" s="46"/>
      <c r="RZU210" s="46"/>
      <c r="RZV210" s="46"/>
      <c r="RZW210" s="46"/>
      <c r="RZX210" s="46"/>
      <c r="RZY210" s="46"/>
      <c r="RZZ210" s="46"/>
      <c r="SAA210" s="46"/>
      <c r="SAB210" s="46"/>
      <c r="SAC210" s="46"/>
      <c r="SAD210" s="46"/>
      <c r="SAE210" s="46"/>
      <c r="SAF210" s="46"/>
      <c r="SAG210" s="46"/>
      <c r="SAH210" s="46"/>
      <c r="SAI210" s="46"/>
      <c r="SAJ210" s="46"/>
      <c r="SAK210" s="46"/>
      <c r="SAL210" s="46"/>
      <c r="SAM210" s="46"/>
      <c r="SAN210" s="46"/>
      <c r="SAO210" s="46"/>
      <c r="SAP210" s="46"/>
      <c r="SAQ210" s="46"/>
      <c r="SAR210" s="46"/>
      <c r="SAS210" s="46"/>
      <c r="SAT210" s="46"/>
      <c r="SAU210" s="46"/>
      <c r="SAV210" s="46"/>
      <c r="SAW210" s="46"/>
      <c r="SAX210" s="46"/>
      <c r="SAY210" s="46"/>
      <c r="SAZ210" s="46"/>
      <c r="SBA210" s="46"/>
      <c r="SBB210" s="46"/>
      <c r="SBC210" s="46"/>
      <c r="SBD210" s="46"/>
      <c r="SBE210" s="46"/>
      <c r="SBF210" s="46"/>
      <c r="SBG210" s="46"/>
      <c r="SBH210" s="46"/>
      <c r="SBI210" s="46"/>
      <c r="SBJ210" s="46"/>
      <c r="SBK210" s="46"/>
      <c r="SBL210" s="46"/>
      <c r="SBM210" s="46"/>
      <c r="SBN210" s="46"/>
      <c r="SBO210" s="46"/>
      <c r="SBP210" s="46"/>
      <c r="SBQ210" s="46"/>
      <c r="SBR210" s="46"/>
      <c r="SBS210" s="46"/>
      <c r="SBT210" s="46"/>
      <c r="SBU210" s="46"/>
      <c r="SBV210" s="46"/>
      <c r="SBW210" s="46"/>
      <c r="SBX210" s="46"/>
      <c r="SBY210" s="46"/>
      <c r="SBZ210" s="46"/>
      <c r="SCA210" s="46"/>
      <c r="SCB210" s="46"/>
      <c r="SCC210" s="46"/>
      <c r="SCD210" s="46"/>
      <c r="SCE210" s="46"/>
      <c r="SCF210" s="46"/>
      <c r="SCG210" s="46"/>
      <c r="SCH210" s="46"/>
      <c r="SCI210" s="46"/>
      <c r="SCJ210" s="46"/>
      <c r="SCK210" s="46"/>
      <c r="SCL210" s="46"/>
      <c r="SCM210" s="46"/>
      <c r="SCN210" s="46"/>
      <c r="SCO210" s="46"/>
      <c r="SCP210" s="46"/>
      <c r="SCQ210" s="46"/>
      <c r="SCR210" s="46"/>
      <c r="SCS210" s="46"/>
      <c r="SCT210" s="46"/>
      <c r="SCU210" s="46"/>
      <c r="SCV210" s="46"/>
      <c r="SCW210" s="46"/>
      <c r="SCX210" s="46"/>
      <c r="SCY210" s="46"/>
      <c r="SCZ210" s="46"/>
      <c r="SDA210" s="46"/>
      <c r="SDB210" s="46"/>
      <c r="SDC210" s="46"/>
      <c r="SDD210" s="46"/>
      <c r="SDE210" s="46"/>
      <c r="SDF210" s="46"/>
      <c r="SDG210" s="46"/>
      <c r="SDH210" s="46"/>
      <c r="SDI210" s="46"/>
      <c r="SDJ210" s="46"/>
      <c r="SDK210" s="46"/>
      <c r="SDL210" s="46"/>
      <c r="SDM210" s="46"/>
      <c r="SDN210" s="46"/>
      <c r="SDO210" s="46"/>
      <c r="SDP210" s="46"/>
      <c r="SDQ210" s="46"/>
      <c r="SDR210" s="46"/>
      <c r="SDS210" s="46"/>
      <c r="SDT210" s="46"/>
      <c r="SDU210" s="46"/>
      <c r="SDV210" s="46"/>
      <c r="SDW210" s="46"/>
      <c r="SDX210" s="46"/>
      <c r="SDY210" s="46"/>
      <c r="SDZ210" s="46"/>
      <c r="SEA210" s="46"/>
      <c r="SEB210" s="46"/>
      <c r="SEC210" s="46"/>
      <c r="SED210" s="46"/>
      <c r="SEE210" s="46"/>
      <c r="SEF210" s="46"/>
      <c r="SEG210" s="46"/>
      <c r="SEH210" s="46"/>
      <c r="SEI210" s="46"/>
      <c r="SEJ210" s="46"/>
      <c r="SEK210" s="46"/>
      <c r="SEL210" s="46"/>
      <c r="SEM210" s="46"/>
      <c r="SEN210" s="46"/>
      <c r="SEO210" s="46"/>
      <c r="SEP210" s="46"/>
      <c r="SEQ210" s="46"/>
      <c r="SER210" s="46"/>
      <c r="SES210" s="46"/>
      <c r="SET210" s="46"/>
      <c r="SEU210" s="46"/>
      <c r="SEV210" s="46"/>
      <c r="SEW210" s="46"/>
      <c r="SEX210" s="46"/>
      <c r="SEY210" s="46"/>
      <c r="SEZ210" s="46"/>
      <c r="SFA210" s="46"/>
      <c r="SFB210" s="46"/>
      <c r="SFC210" s="46"/>
      <c r="SFD210" s="46"/>
      <c r="SFE210" s="46"/>
      <c r="SFF210" s="46"/>
      <c r="SFG210" s="46"/>
      <c r="SFH210" s="46"/>
      <c r="SFI210" s="46"/>
      <c r="SFJ210" s="46"/>
      <c r="SFK210" s="46"/>
      <c r="SFL210" s="46"/>
      <c r="SFM210" s="46"/>
      <c r="SFN210" s="46"/>
      <c r="SFO210" s="46"/>
      <c r="SFP210" s="46"/>
      <c r="SFQ210" s="46"/>
      <c r="SFR210" s="46"/>
      <c r="SFS210" s="46"/>
      <c r="SFT210" s="46"/>
      <c r="SFU210" s="46"/>
      <c r="SFV210" s="46"/>
      <c r="SFW210" s="46"/>
      <c r="SFX210" s="46"/>
      <c r="SFY210" s="46"/>
      <c r="SFZ210" s="46"/>
      <c r="SGA210" s="46"/>
      <c r="SGB210" s="46"/>
      <c r="SGC210" s="46"/>
      <c r="SGD210" s="46"/>
      <c r="SGE210" s="46"/>
      <c r="SGF210" s="46"/>
      <c r="SGG210" s="46"/>
      <c r="SGH210" s="46"/>
      <c r="SGI210" s="46"/>
      <c r="SGJ210" s="46"/>
      <c r="SGK210" s="46"/>
      <c r="SGL210" s="46"/>
      <c r="SGM210" s="46"/>
      <c r="SGN210" s="46"/>
      <c r="SGO210" s="46"/>
      <c r="SGP210" s="46"/>
      <c r="SGQ210" s="46"/>
      <c r="SGR210" s="46"/>
      <c r="SGS210" s="46"/>
      <c r="SGT210" s="46"/>
      <c r="SGU210" s="46"/>
      <c r="SGV210" s="46"/>
      <c r="SGW210" s="46"/>
      <c r="SGX210" s="46"/>
      <c r="SGY210" s="46"/>
      <c r="SGZ210" s="46"/>
      <c r="SHA210" s="46"/>
      <c r="SHB210" s="46"/>
      <c r="SHC210" s="46"/>
      <c r="SHD210" s="46"/>
      <c r="SHE210" s="46"/>
      <c r="SHF210" s="46"/>
      <c r="SHG210" s="46"/>
      <c r="SHH210" s="46"/>
      <c r="SHI210" s="46"/>
      <c r="SHJ210" s="46"/>
      <c r="SHK210" s="46"/>
      <c r="SHL210" s="46"/>
      <c r="SHM210" s="46"/>
      <c r="SHN210" s="46"/>
      <c r="SHO210" s="46"/>
      <c r="SHP210" s="46"/>
      <c r="SHQ210" s="46"/>
      <c r="SHR210" s="46"/>
      <c r="SHS210" s="46"/>
      <c r="SHT210" s="46"/>
      <c r="SHU210" s="46"/>
      <c r="SHV210" s="46"/>
      <c r="SHW210" s="46"/>
      <c r="SHX210" s="46"/>
      <c r="SHY210" s="46"/>
      <c r="SHZ210" s="46"/>
      <c r="SIA210" s="46"/>
      <c r="SIB210" s="46"/>
      <c r="SIC210" s="46"/>
      <c r="SID210" s="46"/>
      <c r="SIE210" s="46"/>
      <c r="SIF210" s="46"/>
      <c r="SIG210" s="46"/>
      <c r="SIH210" s="46"/>
      <c r="SII210" s="46"/>
      <c r="SIJ210" s="46"/>
      <c r="SIK210" s="46"/>
      <c r="SIL210" s="46"/>
      <c r="SIM210" s="46"/>
      <c r="SIN210" s="46"/>
      <c r="SIO210" s="46"/>
      <c r="SIP210" s="46"/>
      <c r="SIQ210" s="46"/>
      <c r="SIR210" s="46"/>
      <c r="SIS210" s="46"/>
      <c r="SIT210" s="46"/>
      <c r="SIU210" s="46"/>
      <c r="SIV210" s="46"/>
      <c r="SIW210" s="46"/>
      <c r="SIX210" s="46"/>
      <c r="SIY210" s="46"/>
      <c r="SIZ210" s="46"/>
      <c r="SJA210" s="46"/>
      <c r="SJB210" s="46"/>
      <c r="SJC210" s="46"/>
      <c r="SJD210" s="46"/>
      <c r="SJE210" s="46"/>
      <c r="SJF210" s="46"/>
      <c r="SJG210" s="46"/>
      <c r="SJH210" s="46"/>
      <c r="SJI210" s="46"/>
      <c r="SJJ210" s="46"/>
      <c r="SJK210" s="46"/>
      <c r="SJL210" s="46"/>
      <c r="SJM210" s="46"/>
      <c r="SJN210" s="46"/>
      <c r="SJO210" s="46"/>
      <c r="SJP210" s="46"/>
      <c r="SJQ210" s="46"/>
      <c r="SJR210" s="46"/>
      <c r="SJS210" s="46"/>
      <c r="SJT210" s="46"/>
      <c r="SJU210" s="46"/>
      <c r="SJV210" s="46"/>
      <c r="SJW210" s="46"/>
      <c r="SJX210" s="46"/>
      <c r="SJY210" s="46"/>
      <c r="SJZ210" s="46"/>
      <c r="SKA210" s="46"/>
      <c r="SKB210" s="46"/>
      <c r="SKC210" s="46"/>
      <c r="SKD210" s="46"/>
      <c r="SKE210" s="46"/>
      <c r="SKF210" s="46"/>
      <c r="SKG210" s="46"/>
      <c r="SKH210" s="46"/>
      <c r="SKI210" s="46"/>
      <c r="SKJ210" s="46"/>
      <c r="SKK210" s="46"/>
      <c r="SKL210" s="46"/>
      <c r="SKM210" s="46"/>
      <c r="SKN210" s="46"/>
      <c r="SKO210" s="46"/>
      <c r="SKP210" s="46"/>
      <c r="SKQ210" s="46"/>
      <c r="SKR210" s="46"/>
      <c r="SKS210" s="46"/>
      <c r="SKT210" s="46"/>
      <c r="SKU210" s="46"/>
      <c r="SKV210" s="46"/>
      <c r="SKW210" s="46"/>
      <c r="SKX210" s="46"/>
      <c r="SKY210" s="46"/>
      <c r="SKZ210" s="46"/>
      <c r="SLA210" s="46"/>
      <c r="SLB210" s="46"/>
      <c r="SLC210" s="46"/>
      <c r="SLD210" s="46"/>
      <c r="SLE210" s="46"/>
      <c r="SLF210" s="46"/>
      <c r="SLG210" s="46"/>
      <c r="SLH210" s="46"/>
      <c r="SLI210" s="46"/>
      <c r="SLJ210" s="46"/>
      <c r="SLK210" s="46"/>
      <c r="SLL210" s="46"/>
      <c r="SLM210" s="46"/>
      <c r="SLN210" s="46"/>
      <c r="SLO210" s="46"/>
      <c r="SLP210" s="46"/>
      <c r="SLQ210" s="46"/>
      <c r="SLR210" s="46"/>
      <c r="SLS210" s="46"/>
      <c r="SLT210" s="46"/>
      <c r="SLU210" s="46"/>
      <c r="SLV210" s="46"/>
      <c r="SLW210" s="46"/>
      <c r="SLX210" s="46"/>
      <c r="SLY210" s="46"/>
      <c r="SLZ210" s="46"/>
      <c r="SMA210" s="46"/>
      <c r="SMB210" s="46"/>
      <c r="SMC210" s="46"/>
      <c r="SMD210" s="46"/>
      <c r="SME210" s="46"/>
      <c r="SMF210" s="46"/>
      <c r="SMG210" s="46"/>
      <c r="SMH210" s="46"/>
      <c r="SMI210" s="46"/>
      <c r="SMJ210" s="46"/>
      <c r="SMK210" s="46"/>
      <c r="SML210" s="46"/>
      <c r="SMM210" s="46"/>
      <c r="SMN210" s="46"/>
      <c r="SMO210" s="46"/>
      <c r="SMP210" s="46"/>
      <c r="SMQ210" s="46"/>
      <c r="SMR210" s="46"/>
      <c r="SMS210" s="46"/>
      <c r="SMT210" s="46"/>
      <c r="SMU210" s="46"/>
      <c r="SMV210" s="46"/>
      <c r="SMW210" s="46"/>
      <c r="SMX210" s="46"/>
      <c r="SMY210" s="46"/>
      <c r="SMZ210" s="46"/>
      <c r="SNA210" s="46"/>
      <c r="SNB210" s="46"/>
      <c r="SNC210" s="46"/>
      <c r="SND210" s="46"/>
      <c r="SNE210" s="46"/>
      <c r="SNF210" s="46"/>
      <c r="SNG210" s="46"/>
      <c r="SNH210" s="46"/>
      <c r="SNI210" s="46"/>
      <c r="SNJ210" s="46"/>
      <c r="SNK210" s="46"/>
      <c r="SNL210" s="46"/>
      <c r="SNM210" s="46"/>
      <c r="SNN210" s="46"/>
      <c r="SNO210" s="46"/>
      <c r="SNP210" s="46"/>
      <c r="SNQ210" s="46"/>
      <c r="SNR210" s="46"/>
      <c r="SNS210" s="46"/>
      <c r="SNT210" s="46"/>
      <c r="SNU210" s="46"/>
      <c r="SNV210" s="46"/>
      <c r="SNW210" s="46"/>
      <c r="SNX210" s="46"/>
      <c r="SNY210" s="46"/>
      <c r="SNZ210" s="46"/>
      <c r="SOA210" s="46"/>
      <c r="SOB210" s="46"/>
      <c r="SOC210" s="46"/>
      <c r="SOD210" s="46"/>
      <c r="SOE210" s="46"/>
      <c r="SOF210" s="46"/>
      <c r="SOG210" s="46"/>
      <c r="SOH210" s="46"/>
      <c r="SOI210" s="46"/>
      <c r="SOJ210" s="46"/>
      <c r="SOK210" s="46"/>
      <c r="SOL210" s="46"/>
      <c r="SOM210" s="46"/>
      <c r="SON210" s="46"/>
      <c r="SOO210" s="46"/>
      <c r="SOP210" s="46"/>
      <c r="SOQ210" s="46"/>
      <c r="SOR210" s="46"/>
      <c r="SOS210" s="46"/>
      <c r="SOT210" s="46"/>
      <c r="SOU210" s="46"/>
      <c r="SOV210" s="46"/>
      <c r="SOW210" s="46"/>
      <c r="SOX210" s="46"/>
      <c r="SOY210" s="46"/>
      <c r="SOZ210" s="46"/>
      <c r="SPA210" s="46"/>
      <c r="SPB210" s="46"/>
      <c r="SPC210" s="46"/>
      <c r="SPD210" s="46"/>
      <c r="SPE210" s="46"/>
      <c r="SPF210" s="46"/>
      <c r="SPG210" s="46"/>
      <c r="SPH210" s="46"/>
      <c r="SPI210" s="46"/>
      <c r="SPJ210" s="46"/>
      <c r="SPK210" s="46"/>
      <c r="SPL210" s="46"/>
      <c r="SPM210" s="46"/>
      <c r="SPN210" s="46"/>
      <c r="SPO210" s="46"/>
      <c r="SPP210" s="46"/>
      <c r="SPQ210" s="46"/>
      <c r="SPR210" s="46"/>
      <c r="SPS210" s="46"/>
      <c r="SPT210" s="46"/>
      <c r="SPU210" s="46"/>
      <c r="SPV210" s="46"/>
      <c r="SPW210" s="46"/>
      <c r="SPX210" s="46"/>
      <c r="SPY210" s="46"/>
      <c r="SPZ210" s="46"/>
      <c r="SQA210" s="46"/>
      <c r="SQB210" s="46"/>
      <c r="SQC210" s="46"/>
      <c r="SQD210" s="46"/>
      <c r="SQE210" s="46"/>
      <c r="SQF210" s="46"/>
      <c r="SQG210" s="46"/>
      <c r="SQH210" s="46"/>
      <c r="SQI210" s="46"/>
      <c r="SQJ210" s="46"/>
      <c r="SQK210" s="46"/>
      <c r="SQL210" s="46"/>
      <c r="SQM210" s="46"/>
      <c r="SQN210" s="46"/>
      <c r="SQO210" s="46"/>
      <c r="SQP210" s="46"/>
      <c r="SQQ210" s="46"/>
      <c r="SQR210" s="46"/>
      <c r="SQS210" s="46"/>
      <c r="SQT210" s="46"/>
      <c r="SQU210" s="46"/>
      <c r="SQV210" s="46"/>
      <c r="SQW210" s="46"/>
      <c r="SQX210" s="46"/>
      <c r="SQY210" s="46"/>
      <c r="SQZ210" s="46"/>
      <c r="SRA210" s="46"/>
      <c r="SRB210" s="46"/>
      <c r="SRC210" s="46"/>
      <c r="SRD210" s="46"/>
      <c r="SRE210" s="46"/>
      <c r="SRF210" s="46"/>
      <c r="SRG210" s="46"/>
      <c r="SRH210" s="46"/>
      <c r="SRI210" s="46"/>
      <c r="SRJ210" s="46"/>
      <c r="SRK210" s="46"/>
      <c r="SRL210" s="46"/>
      <c r="SRM210" s="46"/>
      <c r="SRN210" s="46"/>
      <c r="SRO210" s="46"/>
      <c r="SRP210" s="46"/>
      <c r="SRQ210" s="46"/>
      <c r="SRR210" s="46"/>
      <c r="SRS210" s="46"/>
      <c r="SRT210" s="46"/>
      <c r="SRU210" s="46"/>
      <c r="SRV210" s="46"/>
      <c r="SRW210" s="46"/>
      <c r="SRX210" s="46"/>
      <c r="SRY210" s="46"/>
      <c r="SRZ210" s="46"/>
      <c r="SSA210" s="46"/>
      <c r="SSB210" s="46"/>
      <c r="SSC210" s="46"/>
      <c r="SSD210" s="46"/>
      <c r="SSE210" s="46"/>
      <c r="SSF210" s="46"/>
      <c r="SSG210" s="46"/>
      <c r="SSH210" s="46"/>
      <c r="SSI210" s="46"/>
      <c r="SSJ210" s="46"/>
      <c r="SSK210" s="46"/>
      <c r="SSL210" s="46"/>
      <c r="SSM210" s="46"/>
      <c r="SSN210" s="46"/>
      <c r="SSO210" s="46"/>
      <c r="SSP210" s="46"/>
      <c r="SSQ210" s="46"/>
      <c r="SSR210" s="46"/>
      <c r="SSS210" s="46"/>
      <c r="SST210" s="46"/>
      <c r="SSU210" s="46"/>
      <c r="SSV210" s="46"/>
      <c r="SSW210" s="46"/>
      <c r="SSX210" s="46"/>
      <c r="SSY210" s="46"/>
      <c r="SSZ210" s="46"/>
      <c r="STA210" s="46"/>
      <c r="STB210" s="46"/>
      <c r="STC210" s="46"/>
      <c r="STD210" s="46"/>
      <c r="STE210" s="46"/>
      <c r="STF210" s="46"/>
      <c r="STG210" s="46"/>
      <c r="STH210" s="46"/>
      <c r="STI210" s="46"/>
      <c r="STJ210" s="46"/>
      <c r="STK210" s="46"/>
      <c r="STL210" s="46"/>
      <c r="STM210" s="46"/>
      <c r="STN210" s="46"/>
      <c r="STO210" s="46"/>
      <c r="STP210" s="46"/>
      <c r="STQ210" s="46"/>
      <c r="STR210" s="46"/>
      <c r="STS210" s="46"/>
      <c r="STT210" s="46"/>
      <c r="STU210" s="46"/>
      <c r="STV210" s="46"/>
      <c r="STW210" s="46"/>
      <c r="STX210" s="46"/>
      <c r="STY210" s="46"/>
      <c r="STZ210" s="46"/>
      <c r="SUA210" s="46"/>
      <c r="SUB210" s="46"/>
      <c r="SUC210" s="46"/>
      <c r="SUD210" s="46"/>
      <c r="SUE210" s="46"/>
      <c r="SUF210" s="46"/>
      <c r="SUG210" s="46"/>
      <c r="SUH210" s="46"/>
      <c r="SUI210" s="46"/>
      <c r="SUJ210" s="46"/>
      <c r="SUK210" s="46"/>
      <c r="SUL210" s="46"/>
      <c r="SUM210" s="46"/>
      <c r="SUN210" s="46"/>
      <c r="SUO210" s="46"/>
      <c r="SUP210" s="46"/>
      <c r="SUQ210" s="46"/>
      <c r="SUR210" s="46"/>
      <c r="SUS210" s="46"/>
      <c r="SUT210" s="46"/>
      <c r="SUU210" s="46"/>
      <c r="SUV210" s="46"/>
      <c r="SUW210" s="46"/>
      <c r="SUX210" s="46"/>
      <c r="SUY210" s="46"/>
      <c r="SUZ210" s="46"/>
      <c r="SVA210" s="46"/>
      <c r="SVB210" s="46"/>
      <c r="SVC210" s="46"/>
      <c r="SVD210" s="46"/>
      <c r="SVE210" s="46"/>
      <c r="SVF210" s="46"/>
      <c r="SVG210" s="46"/>
      <c r="SVH210" s="46"/>
      <c r="SVI210" s="46"/>
      <c r="SVJ210" s="46"/>
      <c r="SVK210" s="46"/>
      <c r="SVL210" s="46"/>
      <c r="SVM210" s="46"/>
      <c r="SVN210" s="46"/>
      <c r="SVO210" s="46"/>
      <c r="SVP210" s="46"/>
      <c r="SVQ210" s="46"/>
      <c r="SVR210" s="46"/>
      <c r="SVS210" s="46"/>
      <c r="SVT210" s="46"/>
      <c r="SVU210" s="46"/>
      <c r="SVV210" s="46"/>
      <c r="SVW210" s="46"/>
      <c r="SVX210" s="46"/>
      <c r="SVY210" s="46"/>
      <c r="SVZ210" s="46"/>
      <c r="SWA210" s="46"/>
      <c r="SWB210" s="46"/>
      <c r="SWC210" s="46"/>
      <c r="SWD210" s="46"/>
      <c r="SWE210" s="46"/>
      <c r="SWF210" s="46"/>
      <c r="SWG210" s="46"/>
      <c r="SWH210" s="46"/>
      <c r="SWI210" s="46"/>
      <c r="SWJ210" s="46"/>
      <c r="SWK210" s="46"/>
      <c r="SWL210" s="46"/>
      <c r="SWM210" s="46"/>
      <c r="SWN210" s="46"/>
      <c r="SWO210" s="46"/>
      <c r="SWP210" s="46"/>
      <c r="SWQ210" s="46"/>
      <c r="SWR210" s="46"/>
      <c r="SWS210" s="46"/>
      <c r="SWT210" s="46"/>
      <c r="SWU210" s="46"/>
      <c r="SWV210" s="46"/>
      <c r="SWW210" s="46"/>
      <c r="SWX210" s="46"/>
      <c r="SWY210" s="46"/>
      <c r="SWZ210" s="46"/>
      <c r="SXA210" s="46"/>
      <c r="SXB210" s="46"/>
      <c r="SXC210" s="46"/>
      <c r="SXD210" s="46"/>
      <c r="SXE210" s="46"/>
      <c r="SXF210" s="46"/>
      <c r="SXG210" s="46"/>
      <c r="SXH210" s="46"/>
      <c r="SXI210" s="46"/>
      <c r="SXJ210" s="46"/>
      <c r="SXK210" s="46"/>
      <c r="SXL210" s="46"/>
      <c r="SXM210" s="46"/>
      <c r="SXN210" s="46"/>
      <c r="SXO210" s="46"/>
      <c r="SXP210" s="46"/>
      <c r="SXQ210" s="46"/>
      <c r="SXR210" s="46"/>
      <c r="SXS210" s="46"/>
      <c r="SXT210" s="46"/>
      <c r="SXU210" s="46"/>
      <c r="SXV210" s="46"/>
      <c r="SXW210" s="46"/>
      <c r="SXX210" s="46"/>
      <c r="SXY210" s="46"/>
      <c r="SXZ210" s="46"/>
      <c r="SYA210" s="46"/>
      <c r="SYB210" s="46"/>
      <c r="SYC210" s="46"/>
      <c r="SYD210" s="46"/>
      <c r="SYE210" s="46"/>
      <c r="SYF210" s="46"/>
      <c r="SYG210" s="46"/>
      <c r="SYH210" s="46"/>
      <c r="SYI210" s="46"/>
      <c r="SYJ210" s="46"/>
      <c r="SYK210" s="46"/>
      <c r="SYL210" s="46"/>
      <c r="SYM210" s="46"/>
      <c r="SYN210" s="46"/>
      <c r="SYO210" s="46"/>
      <c r="SYP210" s="46"/>
      <c r="SYQ210" s="46"/>
      <c r="SYR210" s="46"/>
      <c r="SYS210" s="46"/>
      <c r="SYT210" s="46"/>
      <c r="SYU210" s="46"/>
      <c r="SYV210" s="46"/>
      <c r="SYW210" s="46"/>
      <c r="SYX210" s="46"/>
      <c r="SYY210" s="46"/>
      <c r="SYZ210" s="46"/>
      <c r="SZA210" s="46"/>
      <c r="SZB210" s="46"/>
      <c r="SZC210" s="46"/>
      <c r="SZD210" s="46"/>
      <c r="SZE210" s="46"/>
      <c r="SZF210" s="46"/>
      <c r="SZG210" s="46"/>
      <c r="SZH210" s="46"/>
      <c r="SZI210" s="46"/>
      <c r="SZJ210" s="46"/>
      <c r="SZK210" s="46"/>
      <c r="SZL210" s="46"/>
      <c r="SZM210" s="46"/>
      <c r="SZN210" s="46"/>
      <c r="SZO210" s="46"/>
      <c r="SZP210" s="46"/>
      <c r="SZQ210" s="46"/>
      <c r="SZR210" s="46"/>
      <c r="SZS210" s="46"/>
      <c r="SZT210" s="46"/>
      <c r="SZU210" s="46"/>
      <c r="SZV210" s="46"/>
      <c r="SZW210" s="46"/>
      <c r="SZX210" s="46"/>
      <c r="SZY210" s="46"/>
      <c r="SZZ210" s="46"/>
      <c r="TAA210" s="46"/>
      <c r="TAB210" s="46"/>
      <c r="TAC210" s="46"/>
      <c r="TAD210" s="46"/>
      <c r="TAE210" s="46"/>
      <c r="TAF210" s="46"/>
      <c r="TAG210" s="46"/>
      <c r="TAH210" s="46"/>
      <c r="TAI210" s="46"/>
      <c r="TAJ210" s="46"/>
      <c r="TAK210" s="46"/>
      <c r="TAL210" s="46"/>
      <c r="TAM210" s="46"/>
      <c r="TAN210" s="46"/>
      <c r="TAO210" s="46"/>
      <c r="TAP210" s="46"/>
      <c r="TAQ210" s="46"/>
      <c r="TAR210" s="46"/>
      <c r="TAS210" s="46"/>
      <c r="TAT210" s="46"/>
      <c r="TAU210" s="46"/>
      <c r="TAV210" s="46"/>
      <c r="TAW210" s="46"/>
      <c r="TAX210" s="46"/>
      <c r="TAY210" s="46"/>
      <c r="TAZ210" s="46"/>
      <c r="TBA210" s="46"/>
      <c r="TBB210" s="46"/>
      <c r="TBC210" s="46"/>
      <c r="TBD210" s="46"/>
      <c r="TBE210" s="46"/>
      <c r="TBF210" s="46"/>
      <c r="TBG210" s="46"/>
      <c r="TBH210" s="46"/>
      <c r="TBI210" s="46"/>
      <c r="TBJ210" s="46"/>
      <c r="TBK210" s="46"/>
      <c r="TBL210" s="46"/>
      <c r="TBM210" s="46"/>
      <c r="TBN210" s="46"/>
      <c r="TBO210" s="46"/>
      <c r="TBP210" s="46"/>
      <c r="TBQ210" s="46"/>
      <c r="TBR210" s="46"/>
      <c r="TBS210" s="46"/>
      <c r="TBT210" s="46"/>
      <c r="TBU210" s="46"/>
      <c r="TBV210" s="46"/>
      <c r="TBW210" s="46"/>
      <c r="TBX210" s="46"/>
      <c r="TBY210" s="46"/>
      <c r="TBZ210" s="46"/>
      <c r="TCA210" s="46"/>
      <c r="TCB210" s="46"/>
      <c r="TCC210" s="46"/>
      <c r="TCD210" s="46"/>
      <c r="TCE210" s="46"/>
      <c r="TCF210" s="46"/>
      <c r="TCG210" s="46"/>
      <c r="TCH210" s="46"/>
      <c r="TCI210" s="46"/>
      <c r="TCJ210" s="46"/>
      <c r="TCK210" s="46"/>
      <c r="TCL210" s="46"/>
      <c r="TCM210" s="46"/>
      <c r="TCN210" s="46"/>
      <c r="TCO210" s="46"/>
      <c r="TCP210" s="46"/>
      <c r="TCQ210" s="46"/>
      <c r="TCR210" s="46"/>
      <c r="TCS210" s="46"/>
      <c r="TCT210" s="46"/>
      <c r="TCU210" s="46"/>
      <c r="TCV210" s="46"/>
      <c r="TCW210" s="46"/>
      <c r="TCX210" s="46"/>
      <c r="TCY210" s="46"/>
      <c r="TCZ210" s="46"/>
      <c r="TDA210" s="46"/>
      <c r="TDB210" s="46"/>
      <c r="TDC210" s="46"/>
      <c r="TDD210" s="46"/>
      <c r="TDE210" s="46"/>
      <c r="TDF210" s="46"/>
      <c r="TDG210" s="46"/>
      <c r="TDH210" s="46"/>
      <c r="TDI210" s="46"/>
      <c r="TDJ210" s="46"/>
      <c r="TDK210" s="46"/>
      <c r="TDL210" s="46"/>
      <c r="TDM210" s="46"/>
      <c r="TDN210" s="46"/>
      <c r="TDO210" s="46"/>
      <c r="TDP210" s="46"/>
      <c r="TDQ210" s="46"/>
      <c r="TDR210" s="46"/>
      <c r="TDS210" s="46"/>
      <c r="TDT210" s="46"/>
      <c r="TDU210" s="46"/>
      <c r="TDV210" s="46"/>
      <c r="TDW210" s="46"/>
      <c r="TDX210" s="46"/>
      <c r="TDY210" s="46"/>
      <c r="TDZ210" s="46"/>
      <c r="TEA210" s="46"/>
      <c r="TEB210" s="46"/>
      <c r="TEC210" s="46"/>
      <c r="TED210" s="46"/>
      <c r="TEE210" s="46"/>
      <c r="TEF210" s="46"/>
      <c r="TEG210" s="46"/>
      <c r="TEH210" s="46"/>
      <c r="TEI210" s="46"/>
      <c r="TEJ210" s="46"/>
      <c r="TEK210" s="46"/>
      <c r="TEL210" s="46"/>
      <c r="TEM210" s="46"/>
      <c r="TEN210" s="46"/>
      <c r="TEO210" s="46"/>
      <c r="TEP210" s="46"/>
      <c r="TEQ210" s="46"/>
      <c r="TER210" s="46"/>
      <c r="TES210" s="46"/>
      <c r="TET210" s="46"/>
      <c r="TEU210" s="46"/>
      <c r="TEV210" s="46"/>
      <c r="TEW210" s="46"/>
      <c r="TEX210" s="46"/>
      <c r="TEY210" s="46"/>
      <c r="TEZ210" s="46"/>
      <c r="TFA210" s="46"/>
      <c r="TFB210" s="46"/>
      <c r="TFC210" s="46"/>
      <c r="TFD210" s="46"/>
      <c r="TFE210" s="46"/>
      <c r="TFF210" s="46"/>
      <c r="TFG210" s="46"/>
      <c r="TFH210" s="46"/>
      <c r="TFI210" s="46"/>
      <c r="TFJ210" s="46"/>
      <c r="TFK210" s="46"/>
      <c r="TFL210" s="46"/>
      <c r="TFM210" s="46"/>
      <c r="TFN210" s="46"/>
      <c r="TFO210" s="46"/>
      <c r="TFP210" s="46"/>
      <c r="TFQ210" s="46"/>
      <c r="TFR210" s="46"/>
      <c r="TFS210" s="46"/>
      <c r="TFT210" s="46"/>
      <c r="TFU210" s="46"/>
      <c r="TFV210" s="46"/>
      <c r="TFW210" s="46"/>
      <c r="TFX210" s="46"/>
      <c r="TFY210" s="46"/>
      <c r="TFZ210" s="46"/>
      <c r="TGA210" s="46"/>
      <c r="TGB210" s="46"/>
      <c r="TGC210" s="46"/>
      <c r="TGD210" s="46"/>
      <c r="TGE210" s="46"/>
      <c r="TGF210" s="46"/>
      <c r="TGG210" s="46"/>
      <c r="TGH210" s="46"/>
      <c r="TGI210" s="46"/>
      <c r="TGJ210" s="46"/>
      <c r="TGK210" s="46"/>
      <c r="TGL210" s="46"/>
      <c r="TGM210" s="46"/>
      <c r="TGN210" s="46"/>
      <c r="TGO210" s="46"/>
      <c r="TGP210" s="46"/>
      <c r="TGQ210" s="46"/>
      <c r="TGR210" s="46"/>
      <c r="TGS210" s="46"/>
      <c r="TGT210" s="46"/>
      <c r="TGU210" s="46"/>
      <c r="TGV210" s="46"/>
      <c r="TGW210" s="46"/>
      <c r="TGX210" s="46"/>
      <c r="TGY210" s="46"/>
      <c r="TGZ210" s="46"/>
      <c r="THA210" s="46"/>
      <c r="THB210" s="46"/>
      <c r="THC210" s="46"/>
      <c r="THD210" s="46"/>
      <c r="THE210" s="46"/>
      <c r="THF210" s="46"/>
      <c r="THG210" s="46"/>
      <c r="THH210" s="46"/>
      <c r="THI210" s="46"/>
      <c r="THJ210" s="46"/>
      <c r="THK210" s="46"/>
      <c r="THL210" s="46"/>
      <c r="THM210" s="46"/>
      <c r="THN210" s="46"/>
      <c r="THO210" s="46"/>
      <c r="THP210" s="46"/>
      <c r="THQ210" s="46"/>
      <c r="THR210" s="46"/>
      <c r="THS210" s="46"/>
      <c r="THT210" s="46"/>
      <c r="THU210" s="46"/>
      <c r="THV210" s="46"/>
      <c r="THW210" s="46"/>
      <c r="THX210" s="46"/>
      <c r="THY210" s="46"/>
      <c r="THZ210" s="46"/>
      <c r="TIA210" s="46"/>
      <c r="TIB210" s="46"/>
      <c r="TIC210" s="46"/>
      <c r="TID210" s="46"/>
      <c r="TIE210" s="46"/>
      <c r="TIF210" s="46"/>
      <c r="TIG210" s="46"/>
      <c r="TIH210" s="46"/>
      <c r="TII210" s="46"/>
      <c r="TIJ210" s="46"/>
      <c r="TIK210" s="46"/>
      <c r="TIL210" s="46"/>
      <c r="TIM210" s="46"/>
      <c r="TIN210" s="46"/>
      <c r="TIO210" s="46"/>
      <c r="TIP210" s="46"/>
      <c r="TIQ210" s="46"/>
      <c r="TIR210" s="46"/>
      <c r="TIS210" s="46"/>
      <c r="TIT210" s="46"/>
      <c r="TIU210" s="46"/>
      <c r="TIV210" s="46"/>
      <c r="TIW210" s="46"/>
      <c r="TIX210" s="46"/>
      <c r="TIY210" s="46"/>
      <c r="TIZ210" s="46"/>
      <c r="TJA210" s="46"/>
      <c r="TJB210" s="46"/>
      <c r="TJC210" s="46"/>
      <c r="TJD210" s="46"/>
      <c r="TJE210" s="46"/>
      <c r="TJF210" s="46"/>
      <c r="TJG210" s="46"/>
      <c r="TJH210" s="46"/>
      <c r="TJI210" s="46"/>
      <c r="TJJ210" s="46"/>
      <c r="TJK210" s="46"/>
      <c r="TJL210" s="46"/>
      <c r="TJM210" s="46"/>
      <c r="TJN210" s="46"/>
      <c r="TJO210" s="46"/>
      <c r="TJP210" s="46"/>
      <c r="TJQ210" s="46"/>
      <c r="TJR210" s="46"/>
      <c r="TJS210" s="46"/>
      <c r="TJT210" s="46"/>
      <c r="TJU210" s="46"/>
      <c r="TJV210" s="46"/>
      <c r="TJW210" s="46"/>
      <c r="TJX210" s="46"/>
      <c r="TJY210" s="46"/>
      <c r="TJZ210" s="46"/>
      <c r="TKA210" s="46"/>
      <c r="TKB210" s="46"/>
      <c r="TKC210" s="46"/>
      <c r="TKD210" s="46"/>
      <c r="TKE210" s="46"/>
      <c r="TKF210" s="46"/>
      <c r="TKG210" s="46"/>
      <c r="TKH210" s="46"/>
      <c r="TKI210" s="46"/>
      <c r="TKJ210" s="46"/>
      <c r="TKK210" s="46"/>
      <c r="TKL210" s="46"/>
      <c r="TKM210" s="46"/>
      <c r="TKN210" s="46"/>
      <c r="TKO210" s="46"/>
      <c r="TKP210" s="46"/>
      <c r="TKQ210" s="46"/>
      <c r="TKR210" s="46"/>
      <c r="TKS210" s="46"/>
      <c r="TKT210" s="46"/>
      <c r="TKU210" s="46"/>
      <c r="TKV210" s="46"/>
      <c r="TKW210" s="46"/>
      <c r="TKX210" s="46"/>
      <c r="TKY210" s="46"/>
      <c r="TKZ210" s="46"/>
      <c r="TLA210" s="46"/>
      <c r="TLB210" s="46"/>
      <c r="TLC210" s="46"/>
      <c r="TLD210" s="46"/>
      <c r="TLE210" s="46"/>
      <c r="TLF210" s="46"/>
      <c r="TLG210" s="46"/>
      <c r="TLH210" s="46"/>
      <c r="TLI210" s="46"/>
      <c r="TLJ210" s="46"/>
      <c r="TLK210" s="46"/>
      <c r="TLL210" s="46"/>
      <c r="TLM210" s="46"/>
      <c r="TLN210" s="46"/>
      <c r="TLO210" s="46"/>
      <c r="TLP210" s="46"/>
      <c r="TLQ210" s="46"/>
      <c r="TLR210" s="46"/>
      <c r="TLS210" s="46"/>
      <c r="TLT210" s="46"/>
      <c r="TLU210" s="46"/>
      <c r="TLV210" s="46"/>
      <c r="TLW210" s="46"/>
      <c r="TLX210" s="46"/>
      <c r="TLY210" s="46"/>
      <c r="TLZ210" s="46"/>
      <c r="TMA210" s="46"/>
      <c r="TMB210" s="46"/>
      <c r="TMC210" s="46"/>
      <c r="TMD210" s="46"/>
      <c r="TME210" s="46"/>
      <c r="TMF210" s="46"/>
      <c r="TMG210" s="46"/>
      <c r="TMH210" s="46"/>
      <c r="TMI210" s="46"/>
      <c r="TMJ210" s="46"/>
      <c r="TMK210" s="46"/>
      <c r="TML210" s="46"/>
      <c r="TMM210" s="46"/>
      <c r="TMN210" s="46"/>
      <c r="TMO210" s="46"/>
      <c r="TMP210" s="46"/>
      <c r="TMQ210" s="46"/>
      <c r="TMR210" s="46"/>
      <c r="TMS210" s="46"/>
      <c r="TMT210" s="46"/>
      <c r="TMU210" s="46"/>
      <c r="TMV210" s="46"/>
      <c r="TMW210" s="46"/>
      <c r="TMX210" s="46"/>
      <c r="TMY210" s="46"/>
      <c r="TMZ210" s="46"/>
      <c r="TNA210" s="46"/>
      <c r="TNB210" s="46"/>
      <c r="TNC210" s="46"/>
      <c r="TND210" s="46"/>
      <c r="TNE210" s="46"/>
      <c r="TNF210" s="46"/>
      <c r="TNG210" s="46"/>
      <c r="TNH210" s="46"/>
      <c r="TNI210" s="46"/>
      <c r="TNJ210" s="46"/>
      <c r="TNK210" s="46"/>
      <c r="TNL210" s="46"/>
      <c r="TNM210" s="46"/>
      <c r="TNN210" s="46"/>
      <c r="TNO210" s="46"/>
      <c r="TNP210" s="46"/>
      <c r="TNQ210" s="46"/>
      <c r="TNR210" s="46"/>
      <c r="TNS210" s="46"/>
      <c r="TNT210" s="46"/>
      <c r="TNU210" s="46"/>
      <c r="TNV210" s="46"/>
      <c r="TNW210" s="46"/>
      <c r="TNX210" s="46"/>
      <c r="TNY210" s="46"/>
      <c r="TNZ210" s="46"/>
      <c r="TOA210" s="46"/>
      <c r="TOB210" s="46"/>
      <c r="TOC210" s="46"/>
      <c r="TOD210" s="46"/>
      <c r="TOE210" s="46"/>
      <c r="TOF210" s="46"/>
      <c r="TOG210" s="46"/>
      <c r="TOH210" s="46"/>
      <c r="TOI210" s="46"/>
      <c r="TOJ210" s="46"/>
      <c r="TOK210" s="46"/>
      <c r="TOL210" s="46"/>
      <c r="TOM210" s="46"/>
      <c r="TON210" s="46"/>
      <c r="TOO210" s="46"/>
      <c r="TOP210" s="46"/>
      <c r="TOQ210" s="46"/>
      <c r="TOR210" s="46"/>
      <c r="TOS210" s="46"/>
      <c r="TOT210" s="46"/>
      <c r="TOU210" s="46"/>
      <c r="TOV210" s="46"/>
      <c r="TOW210" s="46"/>
      <c r="TOX210" s="46"/>
      <c r="TOY210" s="46"/>
      <c r="TOZ210" s="46"/>
      <c r="TPA210" s="46"/>
      <c r="TPB210" s="46"/>
      <c r="TPC210" s="46"/>
      <c r="TPD210" s="46"/>
      <c r="TPE210" s="46"/>
      <c r="TPF210" s="46"/>
      <c r="TPG210" s="46"/>
      <c r="TPH210" s="46"/>
      <c r="TPI210" s="46"/>
      <c r="TPJ210" s="46"/>
      <c r="TPK210" s="46"/>
      <c r="TPL210" s="46"/>
      <c r="TPM210" s="46"/>
      <c r="TPN210" s="46"/>
      <c r="TPO210" s="46"/>
      <c r="TPP210" s="46"/>
      <c r="TPQ210" s="46"/>
      <c r="TPR210" s="46"/>
      <c r="TPS210" s="46"/>
      <c r="TPT210" s="46"/>
      <c r="TPU210" s="46"/>
      <c r="TPV210" s="46"/>
      <c r="TPW210" s="46"/>
      <c r="TPX210" s="46"/>
      <c r="TPY210" s="46"/>
      <c r="TPZ210" s="46"/>
      <c r="TQA210" s="46"/>
      <c r="TQB210" s="46"/>
      <c r="TQC210" s="46"/>
      <c r="TQD210" s="46"/>
      <c r="TQE210" s="46"/>
      <c r="TQF210" s="46"/>
      <c r="TQG210" s="46"/>
      <c r="TQH210" s="46"/>
      <c r="TQI210" s="46"/>
      <c r="TQJ210" s="46"/>
      <c r="TQK210" s="46"/>
      <c r="TQL210" s="46"/>
      <c r="TQM210" s="46"/>
      <c r="TQN210" s="46"/>
      <c r="TQO210" s="46"/>
      <c r="TQP210" s="46"/>
      <c r="TQQ210" s="46"/>
      <c r="TQR210" s="46"/>
      <c r="TQS210" s="46"/>
      <c r="TQT210" s="46"/>
      <c r="TQU210" s="46"/>
      <c r="TQV210" s="46"/>
      <c r="TQW210" s="46"/>
      <c r="TQX210" s="46"/>
      <c r="TQY210" s="46"/>
      <c r="TQZ210" s="46"/>
      <c r="TRA210" s="46"/>
      <c r="TRB210" s="46"/>
      <c r="TRC210" s="46"/>
      <c r="TRD210" s="46"/>
      <c r="TRE210" s="46"/>
      <c r="TRF210" s="46"/>
      <c r="TRG210" s="46"/>
      <c r="TRH210" s="46"/>
      <c r="TRI210" s="46"/>
      <c r="TRJ210" s="46"/>
      <c r="TRK210" s="46"/>
      <c r="TRL210" s="46"/>
      <c r="TRM210" s="46"/>
      <c r="TRN210" s="46"/>
      <c r="TRO210" s="46"/>
      <c r="TRP210" s="46"/>
      <c r="TRQ210" s="46"/>
      <c r="TRR210" s="46"/>
      <c r="TRS210" s="46"/>
      <c r="TRT210" s="46"/>
      <c r="TRU210" s="46"/>
      <c r="TRV210" s="46"/>
      <c r="TRW210" s="46"/>
      <c r="TRX210" s="46"/>
      <c r="TRY210" s="46"/>
      <c r="TRZ210" s="46"/>
      <c r="TSA210" s="46"/>
      <c r="TSB210" s="46"/>
      <c r="TSC210" s="46"/>
      <c r="TSD210" s="46"/>
      <c r="TSE210" s="46"/>
      <c r="TSF210" s="46"/>
      <c r="TSG210" s="46"/>
      <c r="TSH210" s="46"/>
      <c r="TSI210" s="46"/>
      <c r="TSJ210" s="46"/>
      <c r="TSK210" s="46"/>
      <c r="TSL210" s="46"/>
      <c r="TSM210" s="46"/>
      <c r="TSN210" s="46"/>
      <c r="TSO210" s="46"/>
      <c r="TSP210" s="46"/>
      <c r="TSQ210" s="46"/>
      <c r="TSR210" s="46"/>
      <c r="TSS210" s="46"/>
      <c r="TST210" s="46"/>
      <c r="TSU210" s="46"/>
      <c r="TSV210" s="46"/>
      <c r="TSW210" s="46"/>
      <c r="TSX210" s="46"/>
      <c r="TSY210" s="46"/>
      <c r="TSZ210" s="46"/>
      <c r="TTA210" s="46"/>
      <c r="TTB210" s="46"/>
      <c r="TTC210" s="46"/>
      <c r="TTD210" s="46"/>
      <c r="TTE210" s="46"/>
      <c r="TTF210" s="46"/>
      <c r="TTG210" s="46"/>
      <c r="TTH210" s="46"/>
      <c r="TTI210" s="46"/>
      <c r="TTJ210" s="46"/>
      <c r="TTK210" s="46"/>
      <c r="TTL210" s="46"/>
      <c r="TTM210" s="46"/>
      <c r="TTN210" s="46"/>
      <c r="TTO210" s="46"/>
      <c r="TTP210" s="46"/>
      <c r="TTQ210" s="46"/>
      <c r="TTR210" s="46"/>
      <c r="TTS210" s="46"/>
      <c r="TTT210" s="46"/>
      <c r="TTU210" s="46"/>
      <c r="TTV210" s="46"/>
      <c r="TTW210" s="46"/>
      <c r="TTX210" s="46"/>
      <c r="TTY210" s="46"/>
      <c r="TTZ210" s="46"/>
      <c r="TUA210" s="46"/>
      <c r="TUB210" s="46"/>
      <c r="TUC210" s="46"/>
      <c r="TUD210" s="46"/>
      <c r="TUE210" s="46"/>
      <c r="TUF210" s="46"/>
      <c r="TUG210" s="46"/>
      <c r="TUH210" s="46"/>
      <c r="TUI210" s="46"/>
      <c r="TUJ210" s="46"/>
      <c r="TUK210" s="46"/>
      <c r="TUL210" s="46"/>
      <c r="TUM210" s="46"/>
      <c r="TUN210" s="46"/>
      <c r="TUO210" s="46"/>
      <c r="TUP210" s="46"/>
      <c r="TUQ210" s="46"/>
      <c r="TUR210" s="46"/>
      <c r="TUS210" s="46"/>
      <c r="TUT210" s="46"/>
      <c r="TUU210" s="46"/>
      <c r="TUV210" s="46"/>
      <c r="TUW210" s="46"/>
      <c r="TUX210" s="46"/>
      <c r="TUY210" s="46"/>
      <c r="TUZ210" s="46"/>
      <c r="TVA210" s="46"/>
      <c r="TVB210" s="46"/>
      <c r="TVC210" s="46"/>
      <c r="TVD210" s="46"/>
      <c r="TVE210" s="46"/>
      <c r="TVF210" s="46"/>
      <c r="TVG210" s="46"/>
      <c r="TVH210" s="46"/>
      <c r="TVI210" s="46"/>
      <c r="TVJ210" s="46"/>
      <c r="TVK210" s="46"/>
      <c r="TVL210" s="46"/>
      <c r="TVM210" s="46"/>
      <c r="TVN210" s="46"/>
      <c r="TVO210" s="46"/>
      <c r="TVP210" s="46"/>
      <c r="TVQ210" s="46"/>
      <c r="TVR210" s="46"/>
      <c r="TVS210" s="46"/>
      <c r="TVT210" s="46"/>
      <c r="TVU210" s="46"/>
      <c r="TVV210" s="46"/>
      <c r="TVW210" s="46"/>
      <c r="TVX210" s="46"/>
      <c r="TVY210" s="46"/>
      <c r="TVZ210" s="46"/>
      <c r="TWA210" s="46"/>
      <c r="TWB210" s="46"/>
      <c r="TWC210" s="46"/>
      <c r="TWD210" s="46"/>
      <c r="TWE210" s="46"/>
      <c r="TWF210" s="46"/>
      <c r="TWG210" s="46"/>
      <c r="TWH210" s="46"/>
      <c r="TWI210" s="46"/>
      <c r="TWJ210" s="46"/>
      <c r="TWK210" s="46"/>
      <c r="TWL210" s="46"/>
      <c r="TWM210" s="46"/>
      <c r="TWN210" s="46"/>
      <c r="TWO210" s="46"/>
      <c r="TWP210" s="46"/>
      <c r="TWQ210" s="46"/>
      <c r="TWR210" s="46"/>
      <c r="TWS210" s="46"/>
      <c r="TWT210" s="46"/>
      <c r="TWU210" s="46"/>
      <c r="TWV210" s="46"/>
      <c r="TWW210" s="46"/>
      <c r="TWX210" s="46"/>
      <c r="TWY210" s="46"/>
      <c r="TWZ210" s="46"/>
      <c r="TXA210" s="46"/>
      <c r="TXB210" s="46"/>
      <c r="TXC210" s="46"/>
      <c r="TXD210" s="46"/>
      <c r="TXE210" s="46"/>
      <c r="TXF210" s="46"/>
      <c r="TXG210" s="46"/>
      <c r="TXH210" s="46"/>
      <c r="TXI210" s="46"/>
      <c r="TXJ210" s="46"/>
      <c r="TXK210" s="46"/>
      <c r="TXL210" s="46"/>
      <c r="TXM210" s="46"/>
      <c r="TXN210" s="46"/>
      <c r="TXO210" s="46"/>
      <c r="TXP210" s="46"/>
      <c r="TXQ210" s="46"/>
      <c r="TXR210" s="46"/>
      <c r="TXS210" s="46"/>
      <c r="TXT210" s="46"/>
      <c r="TXU210" s="46"/>
      <c r="TXV210" s="46"/>
      <c r="TXW210" s="46"/>
      <c r="TXX210" s="46"/>
      <c r="TXY210" s="46"/>
      <c r="TXZ210" s="46"/>
      <c r="TYA210" s="46"/>
      <c r="TYB210" s="46"/>
      <c r="TYC210" s="46"/>
      <c r="TYD210" s="46"/>
      <c r="TYE210" s="46"/>
      <c r="TYF210" s="46"/>
      <c r="TYG210" s="46"/>
      <c r="TYH210" s="46"/>
      <c r="TYI210" s="46"/>
      <c r="TYJ210" s="46"/>
      <c r="TYK210" s="46"/>
      <c r="TYL210" s="46"/>
      <c r="TYM210" s="46"/>
      <c r="TYN210" s="46"/>
      <c r="TYO210" s="46"/>
      <c r="TYP210" s="46"/>
      <c r="TYQ210" s="46"/>
      <c r="TYR210" s="46"/>
      <c r="TYS210" s="46"/>
      <c r="TYT210" s="46"/>
      <c r="TYU210" s="46"/>
      <c r="TYV210" s="46"/>
      <c r="TYW210" s="46"/>
      <c r="TYX210" s="46"/>
      <c r="TYY210" s="46"/>
      <c r="TYZ210" s="46"/>
      <c r="TZA210" s="46"/>
      <c r="TZB210" s="46"/>
      <c r="TZC210" s="46"/>
      <c r="TZD210" s="46"/>
      <c r="TZE210" s="46"/>
      <c r="TZF210" s="46"/>
      <c r="TZG210" s="46"/>
      <c r="TZH210" s="46"/>
      <c r="TZI210" s="46"/>
      <c r="TZJ210" s="46"/>
      <c r="TZK210" s="46"/>
      <c r="TZL210" s="46"/>
      <c r="TZM210" s="46"/>
      <c r="TZN210" s="46"/>
      <c r="TZO210" s="46"/>
      <c r="TZP210" s="46"/>
      <c r="TZQ210" s="46"/>
      <c r="TZR210" s="46"/>
      <c r="TZS210" s="46"/>
      <c r="TZT210" s="46"/>
      <c r="TZU210" s="46"/>
      <c r="TZV210" s="46"/>
      <c r="TZW210" s="46"/>
      <c r="TZX210" s="46"/>
      <c r="TZY210" s="46"/>
      <c r="TZZ210" s="46"/>
      <c r="UAA210" s="46"/>
      <c r="UAB210" s="46"/>
      <c r="UAC210" s="46"/>
      <c r="UAD210" s="46"/>
      <c r="UAE210" s="46"/>
      <c r="UAF210" s="46"/>
      <c r="UAG210" s="46"/>
      <c r="UAH210" s="46"/>
      <c r="UAI210" s="46"/>
      <c r="UAJ210" s="46"/>
      <c r="UAK210" s="46"/>
      <c r="UAL210" s="46"/>
      <c r="UAM210" s="46"/>
      <c r="UAN210" s="46"/>
      <c r="UAO210" s="46"/>
      <c r="UAP210" s="46"/>
      <c r="UAQ210" s="46"/>
      <c r="UAR210" s="46"/>
      <c r="UAS210" s="46"/>
      <c r="UAT210" s="46"/>
      <c r="UAU210" s="46"/>
      <c r="UAV210" s="46"/>
      <c r="UAW210" s="46"/>
      <c r="UAX210" s="46"/>
      <c r="UAY210" s="46"/>
      <c r="UAZ210" s="46"/>
      <c r="UBA210" s="46"/>
      <c r="UBB210" s="46"/>
      <c r="UBC210" s="46"/>
      <c r="UBD210" s="46"/>
      <c r="UBE210" s="46"/>
      <c r="UBF210" s="46"/>
      <c r="UBG210" s="46"/>
      <c r="UBH210" s="46"/>
      <c r="UBI210" s="46"/>
      <c r="UBJ210" s="46"/>
      <c r="UBK210" s="46"/>
      <c r="UBL210" s="46"/>
      <c r="UBM210" s="46"/>
      <c r="UBN210" s="46"/>
      <c r="UBO210" s="46"/>
      <c r="UBP210" s="46"/>
      <c r="UBQ210" s="46"/>
      <c r="UBR210" s="46"/>
      <c r="UBS210" s="46"/>
      <c r="UBT210" s="46"/>
      <c r="UBU210" s="46"/>
      <c r="UBV210" s="46"/>
      <c r="UBW210" s="46"/>
      <c r="UBX210" s="46"/>
      <c r="UBY210" s="46"/>
      <c r="UBZ210" s="46"/>
      <c r="UCA210" s="46"/>
      <c r="UCB210" s="46"/>
      <c r="UCC210" s="46"/>
      <c r="UCD210" s="46"/>
      <c r="UCE210" s="46"/>
      <c r="UCF210" s="46"/>
      <c r="UCG210" s="46"/>
      <c r="UCH210" s="46"/>
      <c r="UCI210" s="46"/>
      <c r="UCJ210" s="46"/>
      <c r="UCK210" s="46"/>
      <c r="UCL210" s="46"/>
      <c r="UCM210" s="46"/>
      <c r="UCN210" s="46"/>
      <c r="UCO210" s="46"/>
      <c r="UCP210" s="46"/>
      <c r="UCQ210" s="46"/>
      <c r="UCR210" s="46"/>
      <c r="UCS210" s="46"/>
      <c r="UCT210" s="46"/>
      <c r="UCU210" s="46"/>
      <c r="UCV210" s="46"/>
      <c r="UCW210" s="46"/>
      <c r="UCX210" s="46"/>
      <c r="UCY210" s="46"/>
      <c r="UCZ210" s="46"/>
      <c r="UDA210" s="46"/>
      <c r="UDB210" s="46"/>
      <c r="UDC210" s="46"/>
      <c r="UDD210" s="46"/>
      <c r="UDE210" s="46"/>
      <c r="UDF210" s="46"/>
      <c r="UDG210" s="46"/>
      <c r="UDH210" s="46"/>
      <c r="UDI210" s="46"/>
      <c r="UDJ210" s="46"/>
      <c r="UDK210" s="46"/>
      <c r="UDL210" s="46"/>
      <c r="UDM210" s="46"/>
      <c r="UDN210" s="46"/>
      <c r="UDO210" s="46"/>
      <c r="UDP210" s="46"/>
      <c r="UDQ210" s="46"/>
      <c r="UDR210" s="46"/>
      <c r="UDS210" s="46"/>
      <c r="UDT210" s="46"/>
      <c r="UDU210" s="46"/>
      <c r="UDV210" s="46"/>
      <c r="UDW210" s="46"/>
      <c r="UDX210" s="46"/>
      <c r="UDY210" s="46"/>
      <c r="UDZ210" s="46"/>
      <c r="UEA210" s="46"/>
      <c r="UEB210" s="46"/>
      <c r="UEC210" s="46"/>
      <c r="UED210" s="46"/>
      <c r="UEE210" s="46"/>
      <c r="UEF210" s="46"/>
      <c r="UEG210" s="46"/>
      <c r="UEH210" s="46"/>
      <c r="UEI210" s="46"/>
      <c r="UEJ210" s="46"/>
      <c r="UEK210" s="46"/>
      <c r="UEL210" s="46"/>
      <c r="UEM210" s="46"/>
      <c r="UEN210" s="46"/>
      <c r="UEO210" s="46"/>
      <c r="UEP210" s="46"/>
      <c r="UEQ210" s="46"/>
      <c r="UER210" s="46"/>
      <c r="UES210" s="46"/>
      <c r="UET210" s="46"/>
      <c r="UEU210" s="46"/>
      <c r="UEV210" s="46"/>
      <c r="UEW210" s="46"/>
      <c r="UEX210" s="46"/>
      <c r="UEY210" s="46"/>
      <c r="UEZ210" s="46"/>
      <c r="UFA210" s="46"/>
      <c r="UFB210" s="46"/>
      <c r="UFC210" s="46"/>
      <c r="UFD210" s="46"/>
      <c r="UFE210" s="46"/>
      <c r="UFF210" s="46"/>
      <c r="UFG210" s="46"/>
      <c r="UFH210" s="46"/>
      <c r="UFI210" s="46"/>
      <c r="UFJ210" s="46"/>
      <c r="UFK210" s="46"/>
      <c r="UFL210" s="46"/>
      <c r="UFM210" s="46"/>
      <c r="UFN210" s="46"/>
      <c r="UFO210" s="46"/>
      <c r="UFP210" s="46"/>
      <c r="UFQ210" s="46"/>
      <c r="UFR210" s="46"/>
      <c r="UFS210" s="46"/>
      <c r="UFT210" s="46"/>
      <c r="UFU210" s="46"/>
      <c r="UFV210" s="46"/>
      <c r="UFW210" s="46"/>
      <c r="UFX210" s="46"/>
      <c r="UFY210" s="46"/>
      <c r="UFZ210" s="46"/>
      <c r="UGA210" s="46"/>
      <c r="UGB210" s="46"/>
      <c r="UGC210" s="46"/>
      <c r="UGD210" s="46"/>
      <c r="UGE210" s="46"/>
      <c r="UGF210" s="46"/>
      <c r="UGG210" s="46"/>
      <c r="UGH210" s="46"/>
      <c r="UGI210" s="46"/>
      <c r="UGJ210" s="46"/>
      <c r="UGK210" s="46"/>
      <c r="UGL210" s="46"/>
      <c r="UGM210" s="46"/>
      <c r="UGN210" s="46"/>
      <c r="UGO210" s="46"/>
      <c r="UGP210" s="46"/>
      <c r="UGQ210" s="46"/>
      <c r="UGR210" s="46"/>
      <c r="UGS210" s="46"/>
      <c r="UGT210" s="46"/>
      <c r="UGU210" s="46"/>
      <c r="UGV210" s="46"/>
      <c r="UGW210" s="46"/>
      <c r="UGX210" s="46"/>
      <c r="UGY210" s="46"/>
      <c r="UGZ210" s="46"/>
      <c r="UHA210" s="46"/>
      <c r="UHB210" s="46"/>
      <c r="UHC210" s="46"/>
      <c r="UHD210" s="46"/>
      <c r="UHE210" s="46"/>
      <c r="UHF210" s="46"/>
      <c r="UHG210" s="46"/>
      <c r="UHH210" s="46"/>
      <c r="UHI210" s="46"/>
      <c r="UHJ210" s="46"/>
      <c r="UHK210" s="46"/>
      <c r="UHL210" s="46"/>
      <c r="UHM210" s="46"/>
      <c r="UHN210" s="46"/>
      <c r="UHO210" s="46"/>
      <c r="UHP210" s="46"/>
      <c r="UHQ210" s="46"/>
      <c r="UHR210" s="46"/>
      <c r="UHS210" s="46"/>
      <c r="UHT210" s="46"/>
      <c r="UHU210" s="46"/>
      <c r="UHV210" s="46"/>
      <c r="UHW210" s="46"/>
      <c r="UHX210" s="46"/>
      <c r="UHY210" s="46"/>
      <c r="UHZ210" s="46"/>
      <c r="UIA210" s="46"/>
      <c r="UIB210" s="46"/>
      <c r="UIC210" s="46"/>
      <c r="UID210" s="46"/>
      <c r="UIE210" s="46"/>
      <c r="UIF210" s="46"/>
      <c r="UIG210" s="46"/>
      <c r="UIH210" s="46"/>
      <c r="UII210" s="46"/>
      <c r="UIJ210" s="46"/>
      <c r="UIK210" s="46"/>
      <c r="UIL210" s="46"/>
      <c r="UIM210" s="46"/>
      <c r="UIN210" s="46"/>
      <c r="UIO210" s="46"/>
      <c r="UIP210" s="46"/>
      <c r="UIQ210" s="46"/>
      <c r="UIR210" s="46"/>
      <c r="UIS210" s="46"/>
      <c r="UIT210" s="46"/>
      <c r="UIU210" s="46"/>
      <c r="UIV210" s="46"/>
      <c r="UIW210" s="46"/>
      <c r="UIX210" s="46"/>
      <c r="UIY210" s="46"/>
      <c r="UIZ210" s="46"/>
      <c r="UJA210" s="46"/>
      <c r="UJB210" s="46"/>
      <c r="UJC210" s="46"/>
      <c r="UJD210" s="46"/>
      <c r="UJE210" s="46"/>
      <c r="UJF210" s="46"/>
      <c r="UJG210" s="46"/>
      <c r="UJH210" s="46"/>
      <c r="UJI210" s="46"/>
      <c r="UJJ210" s="46"/>
      <c r="UJK210" s="46"/>
      <c r="UJL210" s="46"/>
      <c r="UJM210" s="46"/>
      <c r="UJN210" s="46"/>
      <c r="UJO210" s="46"/>
      <c r="UJP210" s="46"/>
      <c r="UJQ210" s="46"/>
      <c r="UJR210" s="46"/>
      <c r="UJS210" s="46"/>
      <c r="UJT210" s="46"/>
      <c r="UJU210" s="46"/>
      <c r="UJV210" s="46"/>
      <c r="UJW210" s="46"/>
      <c r="UJX210" s="46"/>
      <c r="UJY210" s="46"/>
      <c r="UJZ210" s="46"/>
      <c r="UKA210" s="46"/>
      <c r="UKB210" s="46"/>
      <c r="UKC210" s="46"/>
      <c r="UKD210" s="46"/>
      <c r="UKE210" s="46"/>
      <c r="UKF210" s="46"/>
      <c r="UKG210" s="46"/>
      <c r="UKH210" s="46"/>
      <c r="UKI210" s="46"/>
      <c r="UKJ210" s="46"/>
      <c r="UKK210" s="46"/>
      <c r="UKL210" s="46"/>
      <c r="UKM210" s="46"/>
      <c r="UKN210" s="46"/>
      <c r="UKO210" s="46"/>
      <c r="UKP210" s="46"/>
      <c r="UKQ210" s="46"/>
      <c r="UKR210" s="46"/>
      <c r="UKS210" s="46"/>
      <c r="UKT210" s="46"/>
      <c r="UKU210" s="46"/>
      <c r="UKV210" s="46"/>
      <c r="UKW210" s="46"/>
      <c r="UKX210" s="46"/>
      <c r="UKY210" s="46"/>
      <c r="UKZ210" s="46"/>
      <c r="ULA210" s="46"/>
      <c r="ULB210" s="46"/>
      <c r="ULC210" s="46"/>
      <c r="ULD210" s="46"/>
      <c r="ULE210" s="46"/>
      <c r="ULF210" s="46"/>
      <c r="ULG210" s="46"/>
      <c r="ULH210" s="46"/>
      <c r="ULI210" s="46"/>
      <c r="ULJ210" s="46"/>
      <c r="ULK210" s="46"/>
      <c r="ULL210" s="46"/>
      <c r="ULM210" s="46"/>
      <c r="ULN210" s="46"/>
      <c r="ULO210" s="46"/>
      <c r="ULP210" s="46"/>
      <c r="ULQ210" s="46"/>
      <c r="ULR210" s="46"/>
      <c r="ULS210" s="46"/>
      <c r="ULT210" s="46"/>
      <c r="ULU210" s="46"/>
      <c r="ULV210" s="46"/>
      <c r="ULW210" s="46"/>
      <c r="ULX210" s="46"/>
      <c r="ULY210" s="46"/>
      <c r="ULZ210" s="46"/>
      <c r="UMA210" s="46"/>
      <c r="UMB210" s="46"/>
      <c r="UMC210" s="46"/>
      <c r="UMD210" s="46"/>
      <c r="UME210" s="46"/>
      <c r="UMF210" s="46"/>
      <c r="UMG210" s="46"/>
      <c r="UMH210" s="46"/>
      <c r="UMI210" s="46"/>
      <c r="UMJ210" s="46"/>
      <c r="UMK210" s="46"/>
      <c r="UML210" s="46"/>
      <c r="UMM210" s="46"/>
      <c r="UMN210" s="46"/>
      <c r="UMO210" s="46"/>
      <c r="UMP210" s="46"/>
      <c r="UMQ210" s="46"/>
      <c r="UMR210" s="46"/>
      <c r="UMS210" s="46"/>
      <c r="UMT210" s="46"/>
      <c r="UMU210" s="46"/>
      <c r="UMV210" s="46"/>
      <c r="UMW210" s="46"/>
      <c r="UMX210" s="46"/>
      <c r="UMY210" s="46"/>
      <c r="UMZ210" s="46"/>
      <c r="UNA210" s="46"/>
      <c r="UNB210" s="46"/>
      <c r="UNC210" s="46"/>
      <c r="UND210" s="46"/>
      <c r="UNE210" s="46"/>
      <c r="UNF210" s="46"/>
      <c r="UNG210" s="46"/>
      <c r="UNH210" s="46"/>
      <c r="UNI210" s="46"/>
      <c r="UNJ210" s="46"/>
      <c r="UNK210" s="46"/>
      <c r="UNL210" s="46"/>
      <c r="UNM210" s="46"/>
      <c r="UNN210" s="46"/>
      <c r="UNO210" s="46"/>
      <c r="UNP210" s="46"/>
      <c r="UNQ210" s="46"/>
      <c r="UNR210" s="46"/>
      <c r="UNS210" s="46"/>
      <c r="UNT210" s="46"/>
      <c r="UNU210" s="46"/>
      <c r="UNV210" s="46"/>
      <c r="UNW210" s="46"/>
      <c r="UNX210" s="46"/>
      <c r="UNY210" s="46"/>
      <c r="UNZ210" s="46"/>
      <c r="UOA210" s="46"/>
      <c r="UOB210" s="46"/>
      <c r="UOC210" s="46"/>
      <c r="UOD210" s="46"/>
      <c r="UOE210" s="46"/>
      <c r="UOF210" s="46"/>
      <c r="UOG210" s="46"/>
      <c r="UOH210" s="46"/>
      <c r="UOI210" s="46"/>
      <c r="UOJ210" s="46"/>
      <c r="UOK210" s="46"/>
      <c r="UOL210" s="46"/>
      <c r="UOM210" s="46"/>
      <c r="UON210" s="46"/>
      <c r="UOO210" s="46"/>
      <c r="UOP210" s="46"/>
      <c r="UOQ210" s="46"/>
      <c r="UOR210" s="46"/>
      <c r="UOS210" s="46"/>
      <c r="UOT210" s="46"/>
      <c r="UOU210" s="46"/>
      <c r="UOV210" s="46"/>
      <c r="UOW210" s="46"/>
      <c r="UOX210" s="46"/>
      <c r="UOY210" s="46"/>
      <c r="UOZ210" s="46"/>
      <c r="UPA210" s="46"/>
      <c r="UPB210" s="46"/>
      <c r="UPC210" s="46"/>
      <c r="UPD210" s="46"/>
      <c r="UPE210" s="46"/>
      <c r="UPF210" s="46"/>
      <c r="UPG210" s="46"/>
      <c r="UPH210" s="46"/>
      <c r="UPI210" s="46"/>
      <c r="UPJ210" s="46"/>
      <c r="UPK210" s="46"/>
      <c r="UPL210" s="46"/>
      <c r="UPM210" s="46"/>
      <c r="UPN210" s="46"/>
      <c r="UPO210" s="46"/>
      <c r="UPP210" s="46"/>
      <c r="UPQ210" s="46"/>
      <c r="UPR210" s="46"/>
      <c r="UPS210" s="46"/>
      <c r="UPT210" s="46"/>
      <c r="UPU210" s="46"/>
      <c r="UPV210" s="46"/>
      <c r="UPW210" s="46"/>
      <c r="UPX210" s="46"/>
      <c r="UPY210" s="46"/>
      <c r="UPZ210" s="46"/>
      <c r="UQA210" s="46"/>
      <c r="UQB210" s="46"/>
      <c r="UQC210" s="46"/>
      <c r="UQD210" s="46"/>
      <c r="UQE210" s="46"/>
      <c r="UQF210" s="46"/>
      <c r="UQG210" s="46"/>
      <c r="UQH210" s="46"/>
      <c r="UQI210" s="46"/>
      <c r="UQJ210" s="46"/>
      <c r="UQK210" s="46"/>
      <c r="UQL210" s="46"/>
      <c r="UQM210" s="46"/>
      <c r="UQN210" s="46"/>
      <c r="UQO210" s="46"/>
      <c r="UQP210" s="46"/>
      <c r="UQQ210" s="46"/>
      <c r="UQR210" s="46"/>
      <c r="UQS210" s="46"/>
      <c r="UQT210" s="46"/>
      <c r="UQU210" s="46"/>
      <c r="UQV210" s="46"/>
      <c r="UQW210" s="46"/>
      <c r="UQX210" s="46"/>
      <c r="UQY210" s="46"/>
      <c r="UQZ210" s="46"/>
      <c r="URA210" s="46"/>
      <c r="URB210" s="46"/>
      <c r="URC210" s="46"/>
      <c r="URD210" s="46"/>
      <c r="URE210" s="46"/>
      <c r="URF210" s="46"/>
      <c r="URG210" s="46"/>
      <c r="URH210" s="46"/>
      <c r="URI210" s="46"/>
      <c r="URJ210" s="46"/>
      <c r="URK210" s="46"/>
      <c r="URL210" s="46"/>
      <c r="URM210" s="46"/>
      <c r="URN210" s="46"/>
      <c r="URO210" s="46"/>
      <c r="URP210" s="46"/>
      <c r="URQ210" s="46"/>
      <c r="URR210" s="46"/>
      <c r="URS210" s="46"/>
      <c r="URT210" s="46"/>
      <c r="URU210" s="46"/>
      <c r="URV210" s="46"/>
      <c r="URW210" s="46"/>
      <c r="URX210" s="46"/>
      <c r="URY210" s="46"/>
      <c r="URZ210" s="46"/>
      <c r="USA210" s="46"/>
      <c r="USB210" s="46"/>
      <c r="USC210" s="46"/>
      <c r="USD210" s="46"/>
      <c r="USE210" s="46"/>
      <c r="USF210" s="46"/>
      <c r="USG210" s="46"/>
      <c r="USH210" s="46"/>
      <c r="USI210" s="46"/>
      <c r="USJ210" s="46"/>
      <c r="USK210" s="46"/>
      <c r="USL210" s="46"/>
      <c r="USM210" s="46"/>
      <c r="USN210" s="46"/>
      <c r="USO210" s="46"/>
      <c r="USP210" s="46"/>
      <c r="USQ210" s="46"/>
      <c r="USR210" s="46"/>
      <c r="USS210" s="46"/>
      <c r="UST210" s="46"/>
      <c r="USU210" s="46"/>
      <c r="USV210" s="46"/>
      <c r="USW210" s="46"/>
      <c r="USX210" s="46"/>
      <c r="USY210" s="46"/>
      <c r="USZ210" s="46"/>
      <c r="UTA210" s="46"/>
      <c r="UTB210" s="46"/>
      <c r="UTC210" s="46"/>
      <c r="UTD210" s="46"/>
      <c r="UTE210" s="46"/>
      <c r="UTF210" s="46"/>
      <c r="UTG210" s="46"/>
      <c r="UTH210" s="46"/>
      <c r="UTI210" s="46"/>
      <c r="UTJ210" s="46"/>
      <c r="UTK210" s="46"/>
      <c r="UTL210" s="46"/>
      <c r="UTM210" s="46"/>
      <c r="UTN210" s="46"/>
      <c r="UTO210" s="46"/>
      <c r="UTP210" s="46"/>
      <c r="UTQ210" s="46"/>
      <c r="UTR210" s="46"/>
      <c r="UTS210" s="46"/>
      <c r="UTT210" s="46"/>
      <c r="UTU210" s="46"/>
      <c r="UTV210" s="46"/>
      <c r="UTW210" s="46"/>
      <c r="UTX210" s="46"/>
      <c r="UTY210" s="46"/>
      <c r="UTZ210" s="46"/>
      <c r="UUA210" s="46"/>
      <c r="UUB210" s="46"/>
      <c r="UUC210" s="46"/>
      <c r="UUD210" s="46"/>
      <c r="UUE210" s="46"/>
      <c r="UUF210" s="46"/>
      <c r="UUG210" s="46"/>
      <c r="UUH210" s="46"/>
      <c r="UUI210" s="46"/>
      <c r="UUJ210" s="46"/>
      <c r="UUK210" s="46"/>
      <c r="UUL210" s="46"/>
      <c r="UUM210" s="46"/>
      <c r="UUN210" s="46"/>
      <c r="UUO210" s="46"/>
      <c r="UUP210" s="46"/>
      <c r="UUQ210" s="46"/>
      <c r="UUR210" s="46"/>
      <c r="UUS210" s="46"/>
      <c r="UUT210" s="46"/>
      <c r="UUU210" s="46"/>
      <c r="UUV210" s="46"/>
      <c r="UUW210" s="46"/>
      <c r="UUX210" s="46"/>
      <c r="UUY210" s="46"/>
      <c r="UUZ210" s="46"/>
      <c r="UVA210" s="46"/>
      <c r="UVB210" s="46"/>
      <c r="UVC210" s="46"/>
      <c r="UVD210" s="46"/>
      <c r="UVE210" s="46"/>
      <c r="UVF210" s="46"/>
      <c r="UVG210" s="46"/>
      <c r="UVH210" s="46"/>
      <c r="UVI210" s="46"/>
      <c r="UVJ210" s="46"/>
      <c r="UVK210" s="46"/>
      <c r="UVL210" s="46"/>
      <c r="UVM210" s="46"/>
      <c r="UVN210" s="46"/>
      <c r="UVO210" s="46"/>
      <c r="UVP210" s="46"/>
      <c r="UVQ210" s="46"/>
      <c r="UVR210" s="46"/>
      <c r="UVS210" s="46"/>
      <c r="UVT210" s="46"/>
      <c r="UVU210" s="46"/>
      <c r="UVV210" s="46"/>
      <c r="UVW210" s="46"/>
      <c r="UVX210" s="46"/>
      <c r="UVY210" s="46"/>
      <c r="UVZ210" s="46"/>
      <c r="UWA210" s="46"/>
      <c r="UWB210" s="46"/>
      <c r="UWC210" s="46"/>
      <c r="UWD210" s="46"/>
      <c r="UWE210" s="46"/>
      <c r="UWF210" s="46"/>
      <c r="UWG210" s="46"/>
      <c r="UWH210" s="46"/>
      <c r="UWI210" s="46"/>
      <c r="UWJ210" s="46"/>
      <c r="UWK210" s="46"/>
      <c r="UWL210" s="46"/>
      <c r="UWM210" s="46"/>
      <c r="UWN210" s="46"/>
      <c r="UWO210" s="46"/>
      <c r="UWP210" s="46"/>
      <c r="UWQ210" s="46"/>
      <c r="UWR210" s="46"/>
      <c r="UWS210" s="46"/>
      <c r="UWT210" s="46"/>
      <c r="UWU210" s="46"/>
      <c r="UWV210" s="46"/>
      <c r="UWW210" s="46"/>
      <c r="UWX210" s="46"/>
      <c r="UWY210" s="46"/>
      <c r="UWZ210" s="46"/>
      <c r="UXA210" s="46"/>
      <c r="UXB210" s="46"/>
      <c r="UXC210" s="46"/>
      <c r="UXD210" s="46"/>
      <c r="UXE210" s="46"/>
      <c r="UXF210" s="46"/>
      <c r="UXG210" s="46"/>
      <c r="UXH210" s="46"/>
      <c r="UXI210" s="46"/>
      <c r="UXJ210" s="46"/>
      <c r="UXK210" s="46"/>
      <c r="UXL210" s="46"/>
      <c r="UXM210" s="46"/>
      <c r="UXN210" s="46"/>
      <c r="UXO210" s="46"/>
      <c r="UXP210" s="46"/>
      <c r="UXQ210" s="46"/>
      <c r="UXR210" s="46"/>
      <c r="UXS210" s="46"/>
      <c r="UXT210" s="46"/>
      <c r="UXU210" s="46"/>
      <c r="UXV210" s="46"/>
      <c r="UXW210" s="46"/>
      <c r="UXX210" s="46"/>
      <c r="UXY210" s="46"/>
      <c r="UXZ210" s="46"/>
      <c r="UYA210" s="46"/>
      <c r="UYB210" s="46"/>
      <c r="UYC210" s="46"/>
      <c r="UYD210" s="46"/>
      <c r="UYE210" s="46"/>
      <c r="UYF210" s="46"/>
      <c r="UYG210" s="46"/>
      <c r="UYH210" s="46"/>
      <c r="UYI210" s="46"/>
      <c r="UYJ210" s="46"/>
      <c r="UYK210" s="46"/>
      <c r="UYL210" s="46"/>
      <c r="UYM210" s="46"/>
      <c r="UYN210" s="46"/>
      <c r="UYO210" s="46"/>
      <c r="UYP210" s="46"/>
      <c r="UYQ210" s="46"/>
      <c r="UYR210" s="46"/>
      <c r="UYS210" s="46"/>
      <c r="UYT210" s="46"/>
      <c r="UYU210" s="46"/>
      <c r="UYV210" s="46"/>
      <c r="UYW210" s="46"/>
      <c r="UYX210" s="46"/>
      <c r="UYY210" s="46"/>
      <c r="UYZ210" s="46"/>
      <c r="UZA210" s="46"/>
      <c r="UZB210" s="46"/>
      <c r="UZC210" s="46"/>
      <c r="UZD210" s="46"/>
      <c r="UZE210" s="46"/>
      <c r="UZF210" s="46"/>
      <c r="UZG210" s="46"/>
      <c r="UZH210" s="46"/>
      <c r="UZI210" s="46"/>
      <c r="UZJ210" s="46"/>
      <c r="UZK210" s="46"/>
      <c r="UZL210" s="46"/>
      <c r="UZM210" s="46"/>
      <c r="UZN210" s="46"/>
      <c r="UZO210" s="46"/>
      <c r="UZP210" s="46"/>
      <c r="UZQ210" s="46"/>
      <c r="UZR210" s="46"/>
      <c r="UZS210" s="46"/>
      <c r="UZT210" s="46"/>
      <c r="UZU210" s="46"/>
      <c r="UZV210" s="46"/>
      <c r="UZW210" s="46"/>
      <c r="UZX210" s="46"/>
      <c r="UZY210" s="46"/>
      <c r="UZZ210" s="46"/>
      <c r="VAA210" s="46"/>
      <c r="VAB210" s="46"/>
      <c r="VAC210" s="46"/>
      <c r="VAD210" s="46"/>
      <c r="VAE210" s="46"/>
      <c r="VAF210" s="46"/>
      <c r="VAG210" s="46"/>
      <c r="VAH210" s="46"/>
      <c r="VAI210" s="46"/>
      <c r="VAJ210" s="46"/>
      <c r="VAK210" s="46"/>
      <c r="VAL210" s="46"/>
      <c r="VAM210" s="46"/>
      <c r="VAN210" s="46"/>
      <c r="VAO210" s="46"/>
      <c r="VAP210" s="46"/>
      <c r="VAQ210" s="46"/>
      <c r="VAR210" s="46"/>
      <c r="VAS210" s="46"/>
      <c r="VAT210" s="46"/>
      <c r="VAU210" s="46"/>
      <c r="VAV210" s="46"/>
      <c r="VAW210" s="46"/>
      <c r="VAX210" s="46"/>
      <c r="VAY210" s="46"/>
      <c r="VAZ210" s="46"/>
      <c r="VBA210" s="46"/>
      <c r="VBB210" s="46"/>
      <c r="VBC210" s="46"/>
      <c r="VBD210" s="46"/>
      <c r="VBE210" s="46"/>
      <c r="VBF210" s="46"/>
      <c r="VBG210" s="46"/>
      <c r="VBH210" s="46"/>
      <c r="VBI210" s="46"/>
      <c r="VBJ210" s="46"/>
      <c r="VBK210" s="46"/>
      <c r="VBL210" s="46"/>
      <c r="VBM210" s="46"/>
      <c r="VBN210" s="46"/>
      <c r="VBO210" s="46"/>
      <c r="VBP210" s="46"/>
      <c r="VBQ210" s="46"/>
      <c r="VBR210" s="46"/>
      <c r="VBS210" s="46"/>
      <c r="VBT210" s="46"/>
      <c r="VBU210" s="46"/>
      <c r="VBV210" s="46"/>
      <c r="VBW210" s="46"/>
      <c r="VBX210" s="46"/>
      <c r="VBY210" s="46"/>
      <c r="VBZ210" s="46"/>
      <c r="VCA210" s="46"/>
      <c r="VCB210" s="46"/>
      <c r="VCC210" s="46"/>
      <c r="VCD210" s="46"/>
      <c r="VCE210" s="46"/>
      <c r="VCF210" s="46"/>
      <c r="VCG210" s="46"/>
      <c r="VCH210" s="46"/>
      <c r="VCI210" s="46"/>
      <c r="VCJ210" s="46"/>
      <c r="VCK210" s="46"/>
      <c r="VCL210" s="46"/>
      <c r="VCM210" s="46"/>
      <c r="VCN210" s="46"/>
      <c r="VCO210" s="46"/>
      <c r="VCP210" s="46"/>
      <c r="VCQ210" s="46"/>
      <c r="VCR210" s="46"/>
      <c r="VCS210" s="46"/>
      <c r="VCT210" s="46"/>
      <c r="VCU210" s="46"/>
      <c r="VCV210" s="46"/>
      <c r="VCW210" s="46"/>
      <c r="VCX210" s="46"/>
      <c r="VCY210" s="46"/>
      <c r="VCZ210" s="46"/>
      <c r="VDA210" s="46"/>
      <c r="VDB210" s="46"/>
      <c r="VDC210" s="46"/>
      <c r="VDD210" s="46"/>
      <c r="VDE210" s="46"/>
      <c r="VDF210" s="46"/>
      <c r="VDG210" s="46"/>
      <c r="VDH210" s="46"/>
      <c r="VDI210" s="46"/>
      <c r="VDJ210" s="46"/>
      <c r="VDK210" s="46"/>
      <c r="VDL210" s="46"/>
      <c r="VDM210" s="46"/>
      <c r="VDN210" s="46"/>
      <c r="VDO210" s="46"/>
      <c r="VDP210" s="46"/>
      <c r="VDQ210" s="46"/>
      <c r="VDR210" s="46"/>
      <c r="VDS210" s="46"/>
      <c r="VDT210" s="46"/>
      <c r="VDU210" s="46"/>
      <c r="VDV210" s="46"/>
      <c r="VDW210" s="46"/>
      <c r="VDX210" s="46"/>
      <c r="VDY210" s="46"/>
      <c r="VDZ210" s="46"/>
      <c r="VEA210" s="46"/>
      <c r="VEB210" s="46"/>
      <c r="VEC210" s="46"/>
      <c r="VED210" s="46"/>
      <c r="VEE210" s="46"/>
      <c r="VEF210" s="46"/>
      <c r="VEG210" s="46"/>
      <c r="VEH210" s="46"/>
      <c r="VEI210" s="46"/>
      <c r="VEJ210" s="46"/>
      <c r="VEK210" s="46"/>
      <c r="VEL210" s="46"/>
      <c r="VEM210" s="46"/>
      <c r="VEN210" s="46"/>
      <c r="VEO210" s="46"/>
      <c r="VEP210" s="46"/>
      <c r="VEQ210" s="46"/>
      <c r="VER210" s="46"/>
      <c r="VES210" s="46"/>
      <c r="VET210" s="46"/>
      <c r="VEU210" s="46"/>
      <c r="VEV210" s="46"/>
      <c r="VEW210" s="46"/>
      <c r="VEX210" s="46"/>
      <c r="VEY210" s="46"/>
      <c r="VEZ210" s="46"/>
      <c r="VFA210" s="46"/>
      <c r="VFB210" s="46"/>
      <c r="VFC210" s="46"/>
      <c r="VFD210" s="46"/>
      <c r="VFE210" s="46"/>
      <c r="VFF210" s="46"/>
      <c r="VFG210" s="46"/>
      <c r="VFH210" s="46"/>
      <c r="VFI210" s="46"/>
      <c r="VFJ210" s="46"/>
      <c r="VFK210" s="46"/>
      <c r="VFL210" s="46"/>
      <c r="VFM210" s="46"/>
      <c r="VFN210" s="46"/>
      <c r="VFO210" s="46"/>
      <c r="VFP210" s="46"/>
      <c r="VFQ210" s="46"/>
      <c r="VFR210" s="46"/>
      <c r="VFS210" s="46"/>
      <c r="VFT210" s="46"/>
      <c r="VFU210" s="46"/>
      <c r="VFV210" s="46"/>
      <c r="VFW210" s="46"/>
      <c r="VFX210" s="46"/>
      <c r="VFY210" s="46"/>
      <c r="VFZ210" s="46"/>
      <c r="VGA210" s="46"/>
      <c r="VGB210" s="46"/>
      <c r="VGC210" s="46"/>
      <c r="VGD210" s="46"/>
      <c r="VGE210" s="46"/>
      <c r="VGF210" s="46"/>
      <c r="VGG210" s="46"/>
      <c r="VGH210" s="46"/>
      <c r="VGI210" s="46"/>
      <c r="VGJ210" s="46"/>
      <c r="VGK210" s="46"/>
      <c r="VGL210" s="46"/>
      <c r="VGM210" s="46"/>
      <c r="VGN210" s="46"/>
      <c r="VGO210" s="46"/>
      <c r="VGP210" s="46"/>
      <c r="VGQ210" s="46"/>
      <c r="VGR210" s="46"/>
      <c r="VGS210" s="46"/>
      <c r="VGT210" s="46"/>
      <c r="VGU210" s="46"/>
      <c r="VGV210" s="46"/>
      <c r="VGW210" s="46"/>
      <c r="VGX210" s="46"/>
      <c r="VGY210" s="46"/>
      <c r="VGZ210" s="46"/>
      <c r="VHA210" s="46"/>
      <c r="VHB210" s="46"/>
      <c r="VHC210" s="46"/>
      <c r="VHD210" s="46"/>
      <c r="VHE210" s="46"/>
      <c r="VHF210" s="46"/>
      <c r="VHG210" s="46"/>
      <c r="VHH210" s="46"/>
      <c r="VHI210" s="46"/>
      <c r="VHJ210" s="46"/>
      <c r="VHK210" s="46"/>
      <c r="VHL210" s="46"/>
      <c r="VHM210" s="46"/>
      <c r="VHN210" s="46"/>
      <c r="VHO210" s="46"/>
      <c r="VHP210" s="46"/>
      <c r="VHQ210" s="46"/>
      <c r="VHR210" s="46"/>
      <c r="VHS210" s="46"/>
      <c r="VHT210" s="46"/>
      <c r="VHU210" s="46"/>
      <c r="VHV210" s="46"/>
      <c r="VHW210" s="46"/>
      <c r="VHX210" s="46"/>
      <c r="VHY210" s="46"/>
      <c r="VHZ210" s="46"/>
      <c r="VIA210" s="46"/>
      <c r="VIB210" s="46"/>
      <c r="VIC210" s="46"/>
      <c r="VID210" s="46"/>
      <c r="VIE210" s="46"/>
      <c r="VIF210" s="46"/>
      <c r="VIG210" s="46"/>
      <c r="VIH210" s="46"/>
      <c r="VII210" s="46"/>
      <c r="VIJ210" s="46"/>
      <c r="VIK210" s="46"/>
      <c r="VIL210" s="46"/>
      <c r="VIM210" s="46"/>
      <c r="VIN210" s="46"/>
      <c r="VIO210" s="46"/>
      <c r="VIP210" s="46"/>
      <c r="VIQ210" s="46"/>
      <c r="VIR210" s="46"/>
      <c r="VIS210" s="46"/>
      <c r="VIT210" s="46"/>
      <c r="VIU210" s="46"/>
      <c r="VIV210" s="46"/>
      <c r="VIW210" s="46"/>
      <c r="VIX210" s="46"/>
      <c r="VIY210" s="46"/>
      <c r="VIZ210" s="46"/>
      <c r="VJA210" s="46"/>
      <c r="VJB210" s="46"/>
      <c r="VJC210" s="46"/>
      <c r="VJD210" s="46"/>
      <c r="VJE210" s="46"/>
      <c r="VJF210" s="46"/>
      <c r="VJG210" s="46"/>
      <c r="VJH210" s="46"/>
      <c r="VJI210" s="46"/>
      <c r="VJJ210" s="46"/>
      <c r="VJK210" s="46"/>
      <c r="VJL210" s="46"/>
      <c r="VJM210" s="46"/>
      <c r="VJN210" s="46"/>
      <c r="VJO210" s="46"/>
      <c r="VJP210" s="46"/>
      <c r="VJQ210" s="46"/>
      <c r="VJR210" s="46"/>
      <c r="VJS210" s="46"/>
      <c r="VJT210" s="46"/>
      <c r="VJU210" s="46"/>
      <c r="VJV210" s="46"/>
      <c r="VJW210" s="46"/>
      <c r="VJX210" s="46"/>
      <c r="VJY210" s="46"/>
      <c r="VJZ210" s="46"/>
      <c r="VKA210" s="46"/>
      <c r="VKB210" s="46"/>
      <c r="VKC210" s="46"/>
      <c r="VKD210" s="46"/>
      <c r="VKE210" s="46"/>
      <c r="VKF210" s="46"/>
      <c r="VKG210" s="46"/>
      <c r="VKH210" s="46"/>
      <c r="VKI210" s="46"/>
      <c r="VKJ210" s="46"/>
      <c r="VKK210" s="46"/>
      <c r="VKL210" s="46"/>
      <c r="VKM210" s="46"/>
      <c r="VKN210" s="46"/>
      <c r="VKO210" s="46"/>
      <c r="VKP210" s="46"/>
      <c r="VKQ210" s="46"/>
      <c r="VKR210" s="46"/>
      <c r="VKS210" s="46"/>
      <c r="VKT210" s="46"/>
      <c r="VKU210" s="46"/>
      <c r="VKV210" s="46"/>
      <c r="VKW210" s="46"/>
      <c r="VKX210" s="46"/>
      <c r="VKY210" s="46"/>
      <c r="VKZ210" s="46"/>
      <c r="VLA210" s="46"/>
      <c r="VLB210" s="46"/>
      <c r="VLC210" s="46"/>
      <c r="VLD210" s="46"/>
      <c r="VLE210" s="46"/>
      <c r="VLF210" s="46"/>
      <c r="VLG210" s="46"/>
      <c r="VLH210" s="46"/>
      <c r="VLI210" s="46"/>
      <c r="VLJ210" s="46"/>
      <c r="VLK210" s="46"/>
      <c r="VLL210" s="46"/>
      <c r="VLM210" s="46"/>
      <c r="VLN210" s="46"/>
      <c r="VLO210" s="46"/>
      <c r="VLP210" s="46"/>
      <c r="VLQ210" s="46"/>
      <c r="VLR210" s="46"/>
      <c r="VLS210" s="46"/>
      <c r="VLT210" s="46"/>
      <c r="VLU210" s="46"/>
      <c r="VLV210" s="46"/>
      <c r="VLW210" s="46"/>
      <c r="VLX210" s="46"/>
      <c r="VLY210" s="46"/>
      <c r="VLZ210" s="46"/>
      <c r="VMA210" s="46"/>
      <c r="VMB210" s="46"/>
      <c r="VMC210" s="46"/>
      <c r="VMD210" s="46"/>
      <c r="VME210" s="46"/>
      <c r="VMF210" s="46"/>
      <c r="VMG210" s="46"/>
      <c r="VMH210" s="46"/>
      <c r="VMI210" s="46"/>
      <c r="VMJ210" s="46"/>
      <c r="VMK210" s="46"/>
      <c r="VML210" s="46"/>
      <c r="VMM210" s="46"/>
      <c r="VMN210" s="46"/>
      <c r="VMO210" s="46"/>
      <c r="VMP210" s="46"/>
      <c r="VMQ210" s="46"/>
      <c r="VMR210" s="46"/>
      <c r="VMS210" s="46"/>
      <c r="VMT210" s="46"/>
      <c r="VMU210" s="46"/>
      <c r="VMV210" s="46"/>
      <c r="VMW210" s="46"/>
      <c r="VMX210" s="46"/>
      <c r="VMY210" s="46"/>
      <c r="VMZ210" s="46"/>
      <c r="VNA210" s="46"/>
      <c r="VNB210" s="46"/>
      <c r="VNC210" s="46"/>
      <c r="VND210" s="46"/>
      <c r="VNE210" s="46"/>
      <c r="VNF210" s="46"/>
      <c r="VNG210" s="46"/>
      <c r="VNH210" s="46"/>
      <c r="VNI210" s="46"/>
      <c r="VNJ210" s="46"/>
      <c r="VNK210" s="46"/>
      <c r="VNL210" s="46"/>
      <c r="VNM210" s="46"/>
      <c r="VNN210" s="46"/>
      <c r="VNO210" s="46"/>
      <c r="VNP210" s="46"/>
      <c r="VNQ210" s="46"/>
      <c r="VNR210" s="46"/>
      <c r="VNS210" s="46"/>
      <c r="VNT210" s="46"/>
      <c r="VNU210" s="46"/>
      <c r="VNV210" s="46"/>
      <c r="VNW210" s="46"/>
      <c r="VNX210" s="46"/>
      <c r="VNY210" s="46"/>
      <c r="VNZ210" s="46"/>
      <c r="VOA210" s="46"/>
      <c r="VOB210" s="46"/>
      <c r="VOC210" s="46"/>
      <c r="VOD210" s="46"/>
      <c r="VOE210" s="46"/>
      <c r="VOF210" s="46"/>
      <c r="VOG210" s="46"/>
      <c r="VOH210" s="46"/>
      <c r="VOI210" s="46"/>
      <c r="VOJ210" s="46"/>
      <c r="VOK210" s="46"/>
      <c r="VOL210" s="46"/>
      <c r="VOM210" s="46"/>
      <c r="VON210" s="46"/>
      <c r="VOO210" s="46"/>
      <c r="VOP210" s="46"/>
      <c r="VOQ210" s="46"/>
      <c r="VOR210" s="46"/>
      <c r="VOS210" s="46"/>
      <c r="VOT210" s="46"/>
      <c r="VOU210" s="46"/>
      <c r="VOV210" s="46"/>
      <c r="VOW210" s="46"/>
      <c r="VOX210" s="46"/>
      <c r="VOY210" s="46"/>
      <c r="VOZ210" s="46"/>
      <c r="VPA210" s="46"/>
      <c r="VPB210" s="46"/>
      <c r="VPC210" s="46"/>
      <c r="VPD210" s="46"/>
      <c r="VPE210" s="46"/>
      <c r="VPF210" s="46"/>
      <c r="VPG210" s="46"/>
      <c r="VPH210" s="46"/>
      <c r="VPI210" s="46"/>
      <c r="VPJ210" s="46"/>
      <c r="VPK210" s="46"/>
      <c r="VPL210" s="46"/>
      <c r="VPM210" s="46"/>
      <c r="VPN210" s="46"/>
      <c r="VPO210" s="46"/>
      <c r="VPP210" s="46"/>
      <c r="VPQ210" s="46"/>
      <c r="VPR210" s="46"/>
      <c r="VPS210" s="46"/>
      <c r="VPT210" s="46"/>
      <c r="VPU210" s="46"/>
      <c r="VPV210" s="46"/>
      <c r="VPW210" s="46"/>
      <c r="VPX210" s="46"/>
      <c r="VPY210" s="46"/>
      <c r="VPZ210" s="46"/>
      <c r="VQA210" s="46"/>
      <c r="VQB210" s="46"/>
      <c r="VQC210" s="46"/>
      <c r="VQD210" s="46"/>
      <c r="VQE210" s="46"/>
      <c r="VQF210" s="46"/>
      <c r="VQG210" s="46"/>
      <c r="VQH210" s="46"/>
      <c r="VQI210" s="46"/>
      <c r="VQJ210" s="46"/>
      <c r="VQK210" s="46"/>
      <c r="VQL210" s="46"/>
      <c r="VQM210" s="46"/>
      <c r="VQN210" s="46"/>
      <c r="VQO210" s="46"/>
      <c r="VQP210" s="46"/>
      <c r="VQQ210" s="46"/>
      <c r="VQR210" s="46"/>
      <c r="VQS210" s="46"/>
      <c r="VQT210" s="46"/>
      <c r="VQU210" s="46"/>
      <c r="VQV210" s="46"/>
      <c r="VQW210" s="46"/>
      <c r="VQX210" s="46"/>
      <c r="VQY210" s="46"/>
      <c r="VQZ210" s="46"/>
      <c r="VRA210" s="46"/>
      <c r="VRB210" s="46"/>
      <c r="VRC210" s="46"/>
      <c r="VRD210" s="46"/>
      <c r="VRE210" s="46"/>
      <c r="VRF210" s="46"/>
      <c r="VRG210" s="46"/>
      <c r="VRH210" s="46"/>
      <c r="VRI210" s="46"/>
      <c r="VRJ210" s="46"/>
      <c r="VRK210" s="46"/>
      <c r="VRL210" s="46"/>
      <c r="VRM210" s="46"/>
      <c r="VRN210" s="46"/>
      <c r="VRO210" s="46"/>
      <c r="VRP210" s="46"/>
      <c r="VRQ210" s="46"/>
      <c r="VRR210" s="46"/>
      <c r="VRS210" s="46"/>
      <c r="VRT210" s="46"/>
      <c r="VRU210" s="46"/>
      <c r="VRV210" s="46"/>
      <c r="VRW210" s="46"/>
      <c r="VRX210" s="46"/>
      <c r="VRY210" s="46"/>
      <c r="VRZ210" s="46"/>
      <c r="VSA210" s="46"/>
      <c r="VSB210" s="46"/>
      <c r="VSC210" s="46"/>
      <c r="VSD210" s="46"/>
      <c r="VSE210" s="46"/>
      <c r="VSF210" s="46"/>
      <c r="VSG210" s="46"/>
      <c r="VSH210" s="46"/>
      <c r="VSI210" s="46"/>
      <c r="VSJ210" s="46"/>
      <c r="VSK210" s="46"/>
      <c r="VSL210" s="46"/>
      <c r="VSM210" s="46"/>
      <c r="VSN210" s="46"/>
      <c r="VSO210" s="46"/>
      <c r="VSP210" s="46"/>
      <c r="VSQ210" s="46"/>
      <c r="VSR210" s="46"/>
      <c r="VSS210" s="46"/>
      <c r="VST210" s="46"/>
      <c r="VSU210" s="46"/>
      <c r="VSV210" s="46"/>
      <c r="VSW210" s="46"/>
      <c r="VSX210" s="46"/>
      <c r="VSY210" s="46"/>
      <c r="VSZ210" s="46"/>
      <c r="VTA210" s="46"/>
      <c r="VTB210" s="46"/>
      <c r="VTC210" s="46"/>
      <c r="VTD210" s="46"/>
      <c r="VTE210" s="46"/>
      <c r="VTF210" s="46"/>
      <c r="VTG210" s="46"/>
      <c r="VTH210" s="46"/>
      <c r="VTI210" s="46"/>
      <c r="VTJ210" s="46"/>
      <c r="VTK210" s="46"/>
      <c r="VTL210" s="46"/>
      <c r="VTM210" s="46"/>
      <c r="VTN210" s="46"/>
      <c r="VTO210" s="46"/>
      <c r="VTP210" s="46"/>
      <c r="VTQ210" s="46"/>
      <c r="VTR210" s="46"/>
      <c r="VTS210" s="46"/>
      <c r="VTT210" s="46"/>
      <c r="VTU210" s="46"/>
      <c r="VTV210" s="46"/>
      <c r="VTW210" s="46"/>
      <c r="VTX210" s="46"/>
      <c r="VTY210" s="46"/>
      <c r="VTZ210" s="46"/>
      <c r="VUA210" s="46"/>
      <c r="VUB210" s="46"/>
      <c r="VUC210" s="46"/>
      <c r="VUD210" s="46"/>
      <c r="VUE210" s="46"/>
      <c r="VUF210" s="46"/>
      <c r="VUG210" s="46"/>
      <c r="VUH210" s="46"/>
      <c r="VUI210" s="46"/>
      <c r="VUJ210" s="46"/>
      <c r="VUK210" s="46"/>
      <c r="VUL210" s="46"/>
      <c r="VUM210" s="46"/>
      <c r="VUN210" s="46"/>
      <c r="VUO210" s="46"/>
      <c r="VUP210" s="46"/>
      <c r="VUQ210" s="46"/>
      <c r="VUR210" s="46"/>
      <c r="VUS210" s="46"/>
      <c r="VUT210" s="46"/>
      <c r="VUU210" s="46"/>
      <c r="VUV210" s="46"/>
      <c r="VUW210" s="46"/>
      <c r="VUX210" s="46"/>
      <c r="VUY210" s="46"/>
      <c r="VUZ210" s="46"/>
      <c r="VVA210" s="46"/>
      <c r="VVB210" s="46"/>
      <c r="VVC210" s="46"/>
      <c r="VVD210" s="46"/>
      <c r="VVE210" s="46"/>
      <c r="VVF210" s="46"/>
      <c r="VVG210" s="46"/>
      <c r="VVH210" s="46"/>
      <c r="VVI210" s="46"/>
      <c r="VVJ210" s="46"/>
      <c r="VVK210" s="46"/>
      <c r="VVL210" s="46"/>
      <c r="VVM210" s="46"/>
      <c r="VVN210" s="46"/>
      <c r="VVO210" s="46"/>
      <c r="VVP210" s="46"/>
      <c r="VVQ210" s="46"/>
      <c r="VVR210" s="46"/>
      <c r="VVS210" s="46"/>
      <c r="VVT210" s="46"/>
      <c r="VVU210" s="46"/>
      <c r="VVV210" s="46"/>
      <c r="VVW210" s="46"/>
      <c r="VVX210" s="46"/>
      <c r="VVY210" s="46"/>
      <c r="VVZ210" s="46"/>
      <c r="VWA210" s="46"/>
      <c r="VWB210" s="46"/>
      <c r="VWC210" s="46"/>
      <c r="VWD210" s="46"/>
      <c r="VWE210" s="46"/>
      <c r="VWF210" s="46"/>
      <c r="VWG210" s="46"/>
      <c r="VWH210" s="46"/>
      <c r="VWI210" s="46"/>
      <c r="VWJ210" s="46"/>
      <c r="VWK210" s="46"/>
      <c r="VWL210" s="46"/>
      <c r="VWM210" s="46"/>
      <c r="VWN210" s="46"/>
      <c r="VWO210" s="46"/>
      <c r="VWP210" s="46"/>
      <c r="VWQ210" s="46"/>
      <c r="VWR210" s="46"/>
      <c r="VWS210" s="46"/>
      <c r="VWT210" s="46"/>
      <c r="VWU210" s="46"/>
      <c r="VWV210" s="46"/>
      <c r="VWW210" s="46"/>
      <c r="VWX210" s="46"/>
      <c r="VWY210" s="46"/>
      <c r="VWZ210" s="46"/>
      <c r="VXA210" s="46"/>
      <c r="VXB210" s="46"/>
      <c r="VXC210" s="46"/>
      <c r="VXD210" s="46"/>
      <c r="VXE210" s="46"/>
      <c r="VXF210" s="46"/>
      <c r="VXG210" s="46"/>
      <c r="VXH210" s="46"/>
      <c r="VXI210" s="46"/>
      <c r="VXJ210" s="46"/>
      <c r="VXK210" s="46"/>
      <c r="VXL210" s="46"/>
      <c r="VXM210" s="46"/>
      <c r="VXN210" s="46"/>
      <c r="VXO210" s="46"/>
      <c r="VXP210" s="46"/>
      <c r="VXQ210" s="46"/>
      <c r="VXR210" s="46"/>
      <c r="VXS210" s="46"/>
      <c r="VXT210" s="46"/>
      <c r="VXU210" s="46"/>
      <c r="VXV210" s="46"/>
      <c r="VXW210" s="46"/>
      <c r="VXX210" s="46"/>
      <c r="VXY210" s="46"/>
      <c r="VXZ210" s="46"/>
      <c r="VYA210" s="46"/>
      <c r="VYB210" s="46"/>
      <c r="VYC210" s="46"/>
      <c r="VYD210" s="46"/>
      <c r="VYE210" s="46"/>
      <c r="VYF210" s="46"/>
      <c r="VYG210" s="46"/>
      <c r="VYH210" s="46"/>
      <c r="VYI210" s="46"/>
      <c r="VYJ210" s="46"/>
      <c r="VYK210" s="46"/>
      <c r="VYL210" s="46"/>
      <c r="VYM210" s="46"/>
      <c r="VYN210" s="46"/>
      <c r="VYO210" s="46"/>
      <c r="VYP210" s="46"/>
      <c r="VYQ210" s="46"/>
      <c r="VYR210" s="46"/>
      <c r="VYS210" s="46"/>
      <c r="VYT210" s="46"/>
      <c r="VYU210" s="46"/>
      <c r="VYV210" s="46"/>
      <c r="VYW210" s="46"/>
      <c r="VYX210" s="46"/>
      <c r="VYY210" s="46"/>
      <c r="VYZ210" s="46"/>
      <c r="VZA210" s="46"/>
      <c r="VZB210" s="46"/>
      <c r="VZC210" s="46"/>
      <c r="VZD210" s="46"/>
      <c r="VZE210" s="46"/>
      <c r="VZF210" s="46"/>
      <c r="VZG210" s="46"/>
      <c r="VZH210" s="46"/>
      <c r="VZI210" s="46"/>
      <c r="VZJ210" s="46"/>
      <c r="VZK210" s="46"/>
      <c r="VZL210" s="46"/>
      <c r="VZM210" s="46"/>
      <c r="VZN210" s="46"/>
      <c r="VZO210" s="46"/>
      <c r="VZP210" s="46"/>
      <c r="VZQ210" s="46"/>
      <c r="VZR210" s="46"/>
      <c r="VZS210" s="46"/>
      <c r="VZT210" s="46"/>
      <c r="VZU210" s="46"/>
      <c r="VZV210" s="46"/>
      <c r="VZW210" s="46"/>
      <c r="VZX210" s="46"/>
      <c r="VZY210" s="46"/>
      <c r="VZZ210" s="46"/>
      <c r="WAA210" s="46"/>
      <c r="WAB210" s="46"/>
      <c r="WAC210" s="46"/>
      <c r="WAD210" s="46"/>
      <c r="WAE210" s="46"/>
      <c r="WAF210" s="46"/>
      <c r="WAG210" s="46"/>
      <c r="WAH210" s="46"/>
      <c r="WAI210" s="46"/>
      <c r="WAJ210" s="46"/>
      <c r="WAK210" s="46"/>
      <c r="WAL210" s="46"/>
      <c r="WAM210" s="46"/>
      <c r="WAN210" s="46"/>
      <c r="WAO210" s="46"/>
      <c r="WAP210" s="46"/>
      <c r="WAQ210" s="46"/>
      <c r="WAR210" s="46"/>
      <c r="WAS210" s="46"/>
      <c r="WAT210" s="46"/>
      <c r="WAU210" s="46"/>
      <c r="WAV210" s="46"/>
      <c r="WAW210" s="46"/>
      <c r="WAX210" s="46"/>
      <c r="WAY210" s="46"/>
      <c r="WAZ210" s="46"/>
      <c r="WBA210" s="46"/>
      <c r="WBB210" s="46"/>
      <c r="WBC210" s="46"/>
      <c r="WBD210" s="46"/>
      <c r="WBE210" s="46"/>
      <c r="WBF210" s="46"/>
      <c r="WBG210" s="46"/>
      <c r="WBH210" s="46"/>
      <c r="WBI210" s="46"/>
      <c r="WBJ210" s="46"/>
      <c r="WBK210" s="46"/>
      <c r="WBL210" s="46"/>
      <c r="WBM210" s="46"/>
      <c r="WBN210" s="46"/>
      <c r="WBO210" s="46"/>
      <c r="WBP210" s="46"/>
      <c r="WBQ210" s="46"/>
      <c r="WBR210" s="46"/>
      <c r="WBS210" s="46"/>
      <c r="WBT210" s="46"/>
      <c r="WBU210" s="46"/>
      <c r="WBV210" s="46"/>
      <c r="WBW210" s="46"/>
      <c r="WBX210" s="46"/>
      <c r="WBY210" s="46"/>
      <c r="WBZ210" s="46"/>
      <c r="WCA210" s="46"/>
      <c r="WCB210" s="46"/>
      <c r="WCC210" s="46"/>
      <c r="WCD210" s="46"/>
      <c r="WCE210" s="46"/>
      <c r="WCF210" s="46"/>
      <c r="WCG210" s="46"/>
      <c r="WCH210" s="46"/>
      <c r="WCI210" s="46"/>
      <c r="WCJ210" s="46"/>
      <c r="WCK210" s="46"/>
      <c r="WCL210" s="46"/>
      <c r="WCM210" s="46"/>
      <c r="WCN210" s="46"/>
      <c r="WCO210" s="46"/>
      <c r="WCP210" s="46"/>
      <c r="WCQ210" s="46"/>
      <c r="WCR210" s="46"/>
      <c r="WCS210" s="46"/>
      <c r="WCT210" s="46"/>
      <c r="WCU210" s="46"/>
      <c r="WCV210" s="46"/>
      <c r="WCW210" s="46"/>
      <c r="WCX210" s="46"/>
      <c r="WCY210" s="46"/>
      <c r="WCZ210" s="46"/>
      <c r="WDA210" s="46"/>
      <c r="WDB210" s="46"/>
      <c r="WDC210" s="46"/>
      <c r="WDD210" s="46"/>
      <c r="WDE210" s="46"/>
      <c r="WDF210" s="46"/>
      <c r="WDG210" s="46"/>
      <c r="WDH210" s="46"/>
      <c r="WDI210" s="46"/>
      <c r="WDJ210" s="46"/>
      <c r="WDK210" s="46"/>
      <c r="WDL210" s="46"/>
      <c r="WDM210" s="46"/>
      <c r="WDN210" s="46"/>
      <c r="WDO210" s="46"/>
      <c r="WDP210" s="46"/>
      <c r="WDQ210" s="46"/>
      <c r="WDR210" s="46"/>
      <c r="WDS210" s="46"/>
      <c r="WDT210" s="46"/>
      <c r="WDU210" s="46"/>
      <c r="WDV210" s="46"/>
      <c r="WDW210" s="46"/>
      <c r="WDX210" s="46"/>
      <c r="WDY210" s="46"/>
      <c r="WDZ210" s="46"/>
      <c r="WEA210" s="46"/>
      <c r="WEB210" s="46"/>
      <c r="WEC210" s="46"/>
      <c r="WED210" s="46"/>
      <c r="WEE210" s="46"/>
      <c r="WEF210" s="46"/>
      <c r="WEG210" s="46"/>
      <c r="WEH210" s="46"/>
      <c r="WEI210" s="46"/>
      <c r="WEJ210" s="46"/>
      <c r="WEK210" s="46"/>
      <c r="WEL210" s="46"/>
      <c r="WEM210" s="46"/>
      <c r="WEN210" s="46"/>
      <c r="WEO210" s="46"/>
      <c r="WEP210" s="46"/>
      <c r="WEQ210" s="46"/>
      <c r="WER210" s="46"/>
      <c r="WES210" s="46"/>
      <c r="WET210" s="46"/>
      <c r="WEU210" s="46"/>
      <c r="WEV210" s="46"/>
      <c r="WEW210" s="46"/>
      <c r="WEX210" s="46"/>
      <c r="WEY210" s="46"/>
      <c r="WEZ210" s="46"/>
      <c r="WFA210" s="46"/>
      <c r="WFB210" s="46"/>
      <c r="WFC210" s="46"/>
      <c r="WFD210" s="46"/>
      <c r="WFE210" s="46"/>
      <c r="WFF210" s="46"/>
      <c r="WFG210" s="46"/>
      <c r="WFH210" s="46"/>
      <c r="WFI210" s="46"/>
      <c r="WFJ210" s="46"/>
      <c r="WFK210" s="46"/>
      <c r="WFL210" s="46"/>
      <c r="WFM210" s="46"/>
      <c r="WFN210" s="46"/>
      <c r="WFO210" s="46"/>
      <c r="WFP210" s="46"/>
      <c r="WFQ210" s="46"/>
      <c r="WFR210" s="46"/>
      <c r="WFS210" s="46"/>
      <c r="WFT210" s="46"/>
      <c r="WFU210" s="46"/>
      <c r="WFV210" s="46"/>
      <c r="WFW210" s="46"/>
      <c r="WFX210" s="46"/>
      <c r="WFY210" s="46"/>
      <c r="WFZ210" s="46"/>
      <c r="WGA210" s="46"/>
      <c r="WGB210" s="46"/>
      <c r="WGC210" s="46"/>
      <c r="WGD210" s="46"/>
      <c r="WGE210" s="46"/>
      <c r="WGF210" s="46"/>
      <c r="WGG210" s="46"/>
      <c r="WGH210" s="46"/>
      <c r="WGI210" s="46"/>
      <c r="WGJ210" s="46"/>
      <c r="WGK210" s="46"/>
      <c r="WGL210" s="46"/>
      <c r="WGM210" s="46"/>
      <c r="WGN210" s="46"/>
      <c r="WGO210" s="46"/>
      <c r="WGP210" s="46"/>
      <c r="WGQ210" s="46"/>
      <c r="WGR210" s="46"/>
      <c r="WGS210" s="46"/>
      <c r="WGT210" s="46"/>
      <c r="WGU210" s="46"/>
      <c r="WGV210" s="46"/>
      <c r="WGW210" s="46"/>
      <c r="WGX210" s="46"/>
      <c r="WGY210" s="46"/>
      <c r="WGZ210" s="46"/>
      <c r="WHA210" s="46"/>
      <c r="WHB210" s="46"/>
      <c r="WHC210" s="46"/>
      <c r="WHD210" s="46"/>
      <c r="WHE210" s="46"/>
      <c r="WHF210" s="46"/>
      <c r="WHG210" s="46"/>
      <c r="WHH210" s="46"/>
      <c r="WHI210" s="46"/>
      <c r="WHJ210" s="46"/>
      <c r="WHK210" s="46"/>
      <c r="WHL210" s="46"/>
      <c r="WHM210" s="46"/>
      <c r="WHN210" s="46"/>
      <c r="WHO210" s="46"/>
      <c r="WHP210" s="46"/>
      <c r="WHQ210" s="46"/>
      <c r="WHR210" s="46"/>
      <c r="WHS210" s="46"/>
      <c r="WHT210" s="46"/>
      <c r="WHU210" s="46"/>
      <c r="WHV210" s="46"/>
      <c r="WHW210" s="46"/>
      <c r="WHX210" s="46"/>
      <c r="WHY210" s="46"/>
      <c r="WHZ210" s="46"/>
      <c r="WIA210" s="46"/>
      <c r="WIB210" s="46"/>
      <c r="WIC210" s="46"/>
      <c r="WID210" s="46"/>
      <c r="WIE210" s="46"/>
      <c r="WIF210" s="46"/>
      <c r="WIG210" s="46"/>
      <c r="WIH210" s="46"/>
      <c r="WII210" s="46"/>
      <c r="WIJ210" s="46"/>
      <c r="WIK210" s="46"/>
      <c r="WIL210" s="46"/>
      <c r="WIM210" s="46"/>
      <c r="WIN210" s="46"/>
      <c r="WIO210" s="46"/>
      <c r="WIP210" s="46"/>
      <c r="WIQ210" s="46"/>
      <c r="WIR210" s="46"/>
      <c r="WIS210" s="46"/>
      <c r="WIT210" s="46"/>
      <c r="WIU210" s="46"/>
      <c r="WIV210" s="46"/>
      <c r="WIW210" s="46"/>
      <c r="WIX210" s="46"/>
      <c r="WIY210" s="46"/>
      <c r="WIZ210" s="46"/>
      <c r="WJA210" s="46"/>
      <c r="WJB210" s="46"/>
      <c r="WJC210" s="46"/>
      <c r="WJD210" s="46"/>
      <c r="WJE210" s="46"/>
      <c r="WJF210" s="46"/>
      <c r="WJG210" s="46"/>
      <c r="WJH210" s="46"/>
      <c r="WJI210" s="46"/>
      <c r="WJJ210" s="46"/>
      <c r="WJK210" s="46"/>
      <c r="WJL210" s="46"/>
      <c r="WJM210" s="46"/>
      <c r="WJN210" s="46"/>
      <c r="WJO210" s="46"/>
      <c r="WJP210" s="46"/>
      <c r="WJQ210" s="46"/>
      <c r="WJR210" s="46"/>
      <c r="WJS210" s="46"/>
      <c r="WJT210" s="46"/>
      <c r="WJU210" s="46"/>
      <c r="WJV210" s="46"/>
      <c r="WJW210" s="46"/>
      <c r="WJX210" s="46"/>
      <c r="WJY210" s="46"/>
      <c r="WJZ210" s="46"/>
      <c r="WKA210" s="46"/>
      <c r="WKB210" s="46"/>
      <c r="WKC210" s="46"/>
      <c r="WKD210" s="46"/>
      <c r="WKE210" s="46"/>
      <c r="WKF210" s="46"/>
      <c r="WKG210" s="46"/>
      <c r="WKH210" s="46"/>
      <c r="WKI210" s="46"/>
      <c r="WKJ210" s="46"/>
      <c r="WKK210" s="46"/>
      <c r="WKL210" s="46"/>
      <c r="WKM210" s="46"/>
      <c r="WKN210" s="46"/>
      <c r="WKO210" s="46"/>
      <c r="WKP210" s="46"/>
      <c r="WKQ210" s="46"/>
      <c r="WKR210" s="46"/>
      <c r="WKS210" s="46"/>
      <c r="WKT210" s="46"/>
      <c r="WKU210" s="46"/>
      <c r="WKV210" s="46"/>
      <c r="WKW210" s="46"/>
      <c r="WKX210" s="46"/>
      <c r="WKY210" s="46"/>
      <c r="WKZ210" s="46"/>
      <c r="WLA210" s="46"/>
      <c r="WLB210" s="46"/>
      <c r="WLC210" s="46"/>
      <c r="WLD210" s="46"/>
      <c r="WLE210" s="46"/>
      <c r="WLF210" s="46"/>
      <c r="WLG210" s="46"/>
      <c r="WLH210" s="46"/>
      <c r="WLI210" s="46"/>
      <c r="WLJ210" s="46"/>
      <c r="WLK210" s="46"/>
      <c r="WLL210" s="46"/>
      <c r="WLM210" s="46"/>
      <c r="WLN210" s="46"/>
      <c r="WLO210" s="46"/>
      <c r="WLP210" s="46"/>
      <c r="WLQ210" s="46"/>
      <c r="WLR210" s="46"/>
      <c r="WLS210" s="46"/>
      <c r="WLT210" s="46"/>
      <c r="WLU210" s="46"/>
      <c r="WLV210" s="46"/>
      <c r="WLW210" s="46"/>
      <c r="WLX210" s="46"/>
      <c r="WLY210" s="46"/>
      <c r="WLZ210" s="46"/>
      <c r="WMA210" s="46"/>
      <c r="WMB210" s="46"/>
      <c r="WMC210" s="46"/>
      <c r="WMD210" s="46"/>
      <c r="WME210" s="46"/>
      <c r="WMF210" s="46"/>
      <c r="WMG210" s="46"/>
      <c r="WMH210" s="46"/>
      <c r="WMI210" s="46"/>
      <c r="WMJ210" s="46"/>
      <c r="WMK210" s="46"/>
      <c r="WML210" s="46"/>
      <c r="WMM210" s="46"/>
      <c r="WMN210" s="46"/>
      <c r="WMO210" s="46"/>
      <c r="WMP210" s="46"/>
      <c r="WMQ210" s="46"/>
      <c r="WMR210" s="46"/>
      <c r="WMS210" s="46"/>
      <c r="WMT210" s="46"/>
      <c r="WMU210" s="46"/>
      <c r="WMV210" s="46"/>
      <c r="WMW210" s="46"/>
      <c r="WMX210" s="46"/>
      <c r="WMY210" s="46"/>
      <c r="WMZ210" s="46"/>
      <c r="WNA210" s="46"/>
      <c r="WNB210" s="46"/>
      <c r="WNC210" s="46"/>
      <c r="WND210" s="46"/>
      <c r="WNE210" s="46"/>
      <c r="WNF210" s="46"/>
      <c r="WNG210" s="46"/>
      <c r="WNH210" s="46"/>
      <c r="WNI210" s="46"/>
      <c r="WNJ210" s="46"/>
      <c r="WNK210" s="46"/>
      <c r="WNL210" s="46"/>
      <c r="WNM210" s="46"/>
      <c r="WNN210" s="46"/>
      <c r="WNO210" s="46"/>
      <c r="WNP210" s="46"/>
      <c r="WNQ210" s="46"/>
      <c r="WNR210" s="46"/>
      <c r="WNS210" s="46"/>
      <c r="WNT210" s="46"/>
      <c r="WNU210" s="46"/>
      <c r="WNV210" s="46"/>
      <c r="WNW210" s="46"/>
      <c r="WNX210" s="46"/>
      <c r="WNY210" s="46"/>
      <c r="WNZ210" s="46"/>
      <c r="WOA210" s="46"/>
      <c r="WOB210" s="46"/>
      <c r="WOC210" s="46"/>
      <c r="WOD210" s="46"/>
      <c r="WOE210" s="46"/>
      <c r="WOF210" s="46"/>
      <c r="WOG210" s="46"/>
      <c r="WOH210" s="46"/>
      <c r="WOI210" s="46"/>
      <c r="WOJ210" s="46"/>
      <c r="WOK210" s="46"/>
      <c r="WOL210" s="46"/>
      <c r="WOM210" s="46"/>
      <c r="WON210" s="46"/>
      <c r="WOO210" s="46"/>
      <c r="WOP210" s="46"/>
      <c r="WOQ210" s="46"/>
      <c r="WOR210" s="46"/>
      <c r="WOS210" s="46"/>
      <c r="WOT210" s="46"/>
      <c r="WOU210" s="46"/>
      <c r="WOV210" s="46"/>
      <c r="WOW210" s="46"/>
      <c r="WOX210" s="46"/>
      <c r="WOY210" s="46"/>
      <c r="WOZ210" s="46"/>
      <c r="WPA210" s="46"/>
      <c r="WPB210" s="46"/>
      <c r="WPC210" s="46"/>
      <c r="WPD210" s="46"/>
      <c r="WPE210" s="46"/>
      <c r="WPF210" s="46"/>
      <c r="WPG210" s="46"/>
      <c r="WPH210" s="46"/>
      <c r="WPI210" s="46"/>
      <c r="WPJ210" s="46"/>
      <c r="WPK210" s="46"/>
      <c r="WPL210" s="46"/>
      <c r="WPM210" s="46"/>
      <c r="WPN210" s="46"/>
      <c r="WPO210" s="46"/>
      <c r="WPP210" s="46"/>
      <c r="WPQ210" s="46"/>
      <c r="WPR210" s="46"/>
      <c r="WPS210" s="46"/>
      <c r="WPT210" s="46"/>
      <c r="WPU210" s="46"/>
      <c r="WPV210" s="46"/>
      <c r="WPW210" s="46"/>
      <c r="WPX210" s="46"/>
      <c r="WPY210" s="46"/>
      <c r="WPZ210" s="46"/>
      <c r="WQA210" s="46"/>
      <c r="WQB210" s="46"/>
      <c r="WQC210" s="46"/>
      <c r="WQD210" s="46"/>
      <c r="WQE210" s="46"/>
      <c r="WQF210" s="46"/>
      <c r="WQG210" s="46"/>
      <c r="WQH210" s="46"/>
      <c r="WQI210" s="46"/>
      <c r="WQJ210" s="46"/>
      <c r="WQK210" s="46"/>
      <c r="WQL210" s="46"/>
      <c r="WQM210" s="46"/>
      <c r="WQN210" s="46"/>
      <c r="WQO210" s="46"/>
      <c r="WQP210" s="46"/>
      <c r="WQQ210" s="46"/>
      <c r="WQR210" s="46"/>
      <c r="WQS210" s="46"/>
      <c r="WQT210" s="46"/>
      <c r="WQU210" s="46"/>
      <c r="WQV210" s="46"/>
      <c r="WQW210" s="46"/>
      <c r="WQX210" s="46"/>
      <c r="WQY210" s="46"/>
      <c r="WQZ210" s="46"/>
      <c r="WRA210" s="46"/>
      <c r="WRB210" s="46"/>
      <c r="WRC210" s="46"/>
      <c r="WRD210" s="46"/>
      <c r="WRE210" s="46"/>
      <c r="WRF210" s="46"/>
      <c r="WRG210" s="46"/>
      <c r="WRH210" s="46"/>
      <c r="WRI210" s="46"/>
      <c r="WRJ210" s="46"/>
      <c r="WRK210" s="46"/>
      <c r="WRL210" s="46"/>
      <c r="WRM210" s="46"/>
      <c r="WRN210" s="46"/>
      <c r="WRO210" s="46"/>
      <c r="WRP210" s="46"/>
      <c r="WRQ210" s="46"/>
      <c r="WRR210" s="46"/>
      <c r="WRS210" s="46"/>
      <c r="WRT210" s="46"/>
      <c r="WRU210" s="46"/>
      <c r="WRV210" s="46"/>
      <c r="WRW210" s="46"/>
      <c r="WRX210" s="46"/>
      <c r="WRY210" s="46"/>
      <c r="WRZ210" s="46"/>
      <c r="WSA210" s="46"/>
      <c r="WSB210" s="46"/>
      <c r="WSC210" s="46"/>
      <c r="WSD210" s="46"/>
      <c r="WSE210" s="46"/>
      <c r="WSF210" s="46"/>
      <c r="WSG210" s="46"/>
      <c r="WSH210" s="46"/>
      <c r="WSI210" s="46"/>
      <c r="WSJ210" s="46"/>
      <c r="WSK210" s="46"/>
      <c r="WSL210" s="46"/>
      <c r="WSM210" s="46"/>
      <c r="WSN210" s="46"/>
      <c r="WSO210" s="46"/>
      <c r="WSP210" s="46"/>
      <c r="WSQ210" s="46"/>
      <c r="WSR210" s="46"/>
      <c r="WSS210" s="46"/>
      <c r="WST210" s="46"/>
      <c r="WSU210" s="46"/>
      <c r="WSV210" s="46"/>
      <c r="WSW210" s="46"/>
      <c r="WSX210" s="46"/>
      <c r="WSY210" s="46"/>
      <c r="WSZ210" s="46"/>
      <c r="WTA210" s="46"/>
      <c r="WTB210" s="46"/>
      <c r="WTC210" s="46"/>
      <c r="WTD210" s="46"/>
      <c r="WTE210" s="46"/>
      <c r="WTF210" s="46"/>
      <c r="WTG210" s="46"/>
      <c r="WTH210" s="46"/>
      <c r="WTI210" s="46"/>
      <c r="WTJ210" s="46"/>
      <c r="WTK210" s="46"/>
      <c r="WTL210" s="46"/>
      <c r="WTM210" s="46"/>
      <c r="WTN210" s="46"/>
      <c r="WTO210" s="46"/>
      <c r="WTP210" s="46"/>
      <c r="WTQ210" s="46"/>
      <c r="WTR210" s="46"/>
      <c r="WTS210" s="46"/>
      <c r="WTT210" s="46"/>
      <c r="WTU210" s="46"/>
      <c r="WTV210" s="46"/>
      <c r="WTW210" s="46"/>
      <c r="WTX210" s="46"/>
      <c r="WTY210" s="46"/>
      <c r="WTZ210" s="46"/>
      <c r="WUA210" s="46"/>
      <c r="WUB210" s="46"/>
      <c r="WUC210" s="46"/>
      <c r="WUD210" s="46"/>
      <c r="WUE210" s="46"/>
      <c r="WUF210" s="46"/>
      <c r="WUG210" s="46"/>
      <c r="WUH210" s="46"/>
      <c r="WUI210" s="46"/>
      <c r="WUJ210" s="46"/>
      <c r="WUK210" s="46"/>
      <c r="WUL210" s="46"/>
      <c r="WUM210" s="46"/>
      <c r="WUN210" s="46"/>
      <c r="WUO210" s="46"/>
      <c r="WUP210" s="46"/>
      <c r="WUQ210" s="46"/>
      <c r="WUR210" s="46"/>
      <c r="WUS210" s="46"/>
      <c r="WUT210" s="46"/>
      <c r="WUU210" s="46"/>
      <c r="WUV210" s="46"/>
      <c r="WUW210" s="46"/>
      <c r="WUX210" s="46"/>
      <c r="WUY210" s="46"/>
      <c r="WUZ210" s="46"/>
      <c r="WVA210" s="46"/>
      <c r="WVB210" s="46"/>
      <c r="WVC210" s="46"/>
      <c r="WVD210" s="46"/>
      <c r="WVE210" s="46"/>
      <c r="WVF210" s="46"/>
      <c r="WVG210" s="46"/>
      <c r="WVH210" s="46"/>
      <c r="WVI210" s="46"/>
      <c r="WVJ210" s="46"/>
      <c r="WVK210" s="46"/>
      <c r="WVL210" s="46"/>
      <c r="WVM210" s="46"/>
      <c r="WVN210" s="46"/>
      <c r="WVO210" s="46"/>
      <c r="WVP210" s="46"/>
      <c r="WVQ210" s="46"/>
      <c r="WVR210" s="46"/>
      <c r="WVS210" s="46"/>
      <c r="WVT210" s="46"/>
      <c r="WVU210" s="46"/>
      <c r="WVV210" s="46"/>
      <c r="WVW210" s="46"/>
      <c r="WVX210" s="46"/>
      <c r="WVY210" s="46"/>
      <c r="WVZ210" s="46"/>
      <c r="WWA210" s="46"/>
      <c r="WWB210" s="46"/>
      <c r="WWC210" s="46"/>
      <c r="WWD210" s="46"/>
      <c r="WWE210" s="46"/>
      <c r="WWF210" s="46"/>
      <c r="WWG210" s="46"/>
      <c r="WWH210" s="46"/>
      <c r="WWI210" s="46"/>
      <c r="WWJ210" s="46"/>
      <c r="WWK210" s="46"/>
      <c r="WWL210" s="46"/>
      <c r="WWM210" s="46"/>
      <c r="WWN210" s="46"/>
      <c r="WWO210" s="46"/>
      <c r="WWP210" s="46"/>
      <c r="WWQ210" s="46"/>
      <c r="WWR210" s="46"/>
      <c r="WWS210" s="46"/>
      <c r="WWT210" s="46"/>
      <c r="WWU210" s="46"/>
      <c r="WWV210" s="46"/>
      <c r="WWW210" s="46"/>
      <c r="WWX210" s="46"/>
      <c r="WWY210" s="46"/>
      <c r="WWZ210" s="46"/>
      <c r="WXA210" s="46"/>
      <c r="WXB210" s="46"/>
      <c r="WXC210" s="46"/>
      <c r="WXD210" s="46"/>
      <c r="WXE210" s="46"/>
      <c r="WXF210" s="46"/>
      <c r="WXG210" s="46"/>
      <c r="WXH210" s="46"/>
      <c r="WXI210" s="46"/>
      <c r="WXJ210" s="46"/>
      <c r="WXK210" s="46"/>
      <c r="WXL210" s="46"/>
      <c r="WXM210" s="46"/>
      <c r="WXN210" s="46"/>
      <c r="WXO210" s="46"/>
      <c r="WXP210" s="46"/>
      <c r="WXQ210" s="46"/>
      <c r="WXR210" s="46"/>
      <c r="WXS210" s="46"/>
      <c r="WXT210" s="46"/>
      <c r="WXU210" s="46"/>
      <c r="WXV210" s="46"/>
      <c r="WXW210" s="46"/>
      <c r="WXX210" s="46"/>
      <c r="WXY210" s="46"/>
      <c r="WXZ210" s="46"/>
      <c r="WYA210" s="46"/>
      <c r="WYB210" s="46"/>
      <c r="WYC210" s="46"/>
      <c r="WYD210" s="46"/>
      <c r="WYE210" s="46"/>
      <c r="WYF210" s="46"/>
      <c r="WYG210" s="46"/>
      <c r="WYH210" s="46"/>
      <c r="WYI210" s="46"/>
      <c r="WYJ210" s="46"/>
      <c r="WYK210" s="46"/>
      <c r="WYL210" s="46"/>
      <c r="WYM210" s="46"/>
      <c r="WYN210" s="46"/>
      <c r="WYO210" s="46"/>
      <c r="WYP210" s="46"/>
      <c r="WYQ210" s="46"/>
      <c r="WYR210" s="46"/>
      <c r="WYS210" s="46"/>
      <c r="WYT210" s="46"/>
      <c r="WYU210" s="46"/>
      <c r="WYV210" s="46"/>
      <c r="WYW210" s="46"/>
      <c r="WYX210" s="46"/>
      <c r="WYY210" s="46"/>
      <c r="WYZ210" s="46"/>
      <c r="WZA210" s="46"/>
      <c r="WZB210" s="46"/>
      <c r="WZC210" s="46"/>
      <c r="WZD210" s="46"/>
      <c r="WZE210" s="46"/>
      <c r="WZF210" s="46"/>
      <c r="WZG210" s="46"/>
      <c r="WZH210" s="46"/>
      <c r="WZI210" s="46"/>
      <c r="WZJ210" s="46"/>
      <c r="WZK210" s="46"/>
      <c r="WZL210" s="46"/>
      <c r="WZM210" s="46"/>
      <c r="WZN210" s="46"/>
      <c r="WZO210" s="46"/>
      <c r="WZP210" s="46"/>
      <c r="WZQ210" s="46"/>
      <c r="WZR210" s="46"/>
      <c r="WZS210" s="46"/>
      <c r="WZT210" s="46"/>
      <c r="WZU210" s="46"/>
      <c r="WZV210" s="46"/>
      <c r="WZW210" s="46"/>
      <c r="WZX210" s="46"/>
      <c r="WZY210" s="46"/>
      <c r="WZZ210" s="46"/>
      <c r="XAA210" s="46"/>
      <c r="XAB210" s="46"/>
      <c r="XAC210" s="46"/>
      <c r="XAD210" s="46"/>
      <c r="XAE210" s="46"/>
      <c r="XAF210" s="46"/>
      <c r="XAG210" s="46"/>
      <c r="XAH210" s="46"/>
      <c r="XAI210" s="46"/>
      <c r="XAJ210" s="46"/>
      <c r="XAK210" s="46"/>
      <c r="XAL210" s="46"/>
      <c r="XAM210" s="46"/>
      <c r="XAN210" s="46"/>
      <c r="XAO210" s="46"/>
      <c r="XAP210" s="46"/>
      <c r="XAQ210" s="46"/>
      <c r="XAR210" s="46"/>
      <c r="XAS210" s="46"/>
      <c r="XAT210" s="46"/>
      <c r="XAU210" s="46"/>
      <c r="XAV210" s="46"/>
      <c r="XAW210" s="46"/>
      <c r="XAX210" s="46"/>
      <c r="XAY210" s="46"/>
      <c r="XAZ210" s="46"/>
      <c r="XBA210" s="46"/>
      <c r="XBB210" s="46"/>
      <c r="XBC210" s="46"/>
      <c r="XBD210" s="46"/>
      <c r="XBE210" s="46"/>
      <c r="XBF210" s="46"/>
      <c r="XBG210" s="46"/>
      <c r="XBH210" s="46"/>
      <c r="XBI210" s="46"/>
      <c r="XBJ210" s="46"/>
      <c r="XBK210" s="46"/>
      <c r="XBL210" s="46"/>
      <c r="XBM210" s="46"/>
      <c r="XBN210" s="46"/>
      <c r="XBO210" s="46"/>
      <c r="XBP210" s="46"/>
      <c r="XBQ210" s="46"/>
      <c r="XBR210" s="46"/>
      <c r="XBS210" s="46"/>
      <c r="XBT210" s="46"/>
      <c r="XBU210" s="46"/>
      <c r="XBV210" s="46"/>
      <c r="XBW210" s="46"/>
      <c r="XBX210" s="46"/>
      <c r="XBY210" s="46"/>
      <c r="XBZ210" s="46"/>
      <c r="XCA210" s="46"/>
      <c r="XCB210" s="46"/>
      <c r="XCC210" s="46"/>
      <c r="XCD210" s="46"/>
      <c r="XCE210" s="46"/>
      <c r="XCF210" s="46"/>
      <c r="XCG210" s="46"/>
      <c r="XCH210" s="46"/>
      <c r="XCI210" s="46"/>
      <c r="XCJ210" s="46"/>
      <c r="XCK210" s="46"/>
      <c r="XCL210" s="46"/>
      <c r="XCM210" s="46"/>
      <c r="XCN210" s="46"/>
      <c r="XCO210" s="46"/>
      <c r="XCP210" s="46"/>
      <c r="XCQ210" s="46"/>
      <c r="XCR210" s="46"/>
      <c r="XCS210" s="46"/>
      <c r="XCT210" s="46"/>
      <c r="XCU210" s="46"/>
      <c r="XCV210" s="46"/>
      <c r="XCW210" s="46"/>
      <c r="XCX210" s="46"/>
      <c r="XCY210" s="46"/>
      <c r="XCZ210" s="46"/>
      <c r="XDA210" s="46"/>
      <c r="XDB210" s="46"/>
      <c r="XDC210" s="46"/>
      <c r="XDD210" s="46"/>
      <c r="XDE210" s="46"/>
      <c r="XDF210" s="46"/>
      <c r="XDG210" s="46"/>
      <c r="XDH210" s="46"/>
      <c r="XDI210" s="46"/>
      <c r="XDJ210" s="46"/>
      <c r="XDK210" s="46"/>
      <c r="XDL210" s="46"/>
      <c r="XDM210" s="46"/>
      <c r="XDN210" s="46"/>
      <c r="XDO210" s="46"/>
      <c r="XDP210" s="46"/>
      <c r="XDQ210" s="46"/>
      <c r="XDR210" s="46"/>
      <c r="XDS210" s="46"/>
      <c r="XDT210" s="46"/>
      <c r="XDU210" s="46"/>
      <c r="XDV210" s="46"/>
      <c r="XDW210" s="46"/>
      <c r="XDX210" s="46"/>
      <c r="XDY210" s="46"/>
      <c r="XDZ210" s="46"/>
      <c r="XEA210" s="46"/>
      <c r="XEB210" s="46"/>
      <c r="XEC210" s="46"/>
      <c r="XED210" s="46"/>
    </row>
    <row r="211" spans="1:16358" ht="39" customHeight="1">
      <c r="A211" s="4" t="s">
        <v>857</v>
      </c>
      <c r="B211" s="4" t="s">
        <v>78</v>
      </c>
      <c r="C211" s="4" t="s">
        <v>79</v>
      </c>
      <c r="D211" s="4" t="s">
        <v>80</v>
      </c>
      <c r="E211" s="1" t="s">
        <v>80</v>
      </c>
      <c r="F211" s="14" t="s">
        <v>858</v>
      </c>
      <c r="G211" s="21" t="s">
        <v>859</v>
      </c>
      <c r="H211" s="21" t="s">
        <v>860</v>
      </c>
      <c r="I211" s="4" t="s">
        <v>89</v>
      </c>
      <c r="J211" s="4" t="s">
        <v>89</v>
      </c>
      <c r="K211" s="4" t="s">
        <v>89</v>
      </c>
      <c r="L211" s="4" t="s">
        <v>89</v>
      </c>
      <c r="M211" s="21">
        <v>21.75</v>
      </c>
      <c r="N211" s="34" t="s">
        <v>7</v>
      </c>
      <c r="O211" s="34" t="str">
        <f>IF(ISNUMBER(SEARCH("IMS",PMS_Catalog[[#This Row],[WU Id]])),"IMS",PMS_Catalog[[#This Row],[UNIQUE PRICE per hour]]*PMS_Catalog[[#This Row],[PMS Effort (Hours)]])</f>
        <v>IMS</v>
      </c>
      <c r="P211" s="34" t="s">
        <v>99</v>
      </c>
      <c r="Q211" s="53" t="s">
        <v>88</v>
      </c>
      <c r="R211" s="1" t="s">
        <v>89</v>
      </c>
      <c r="S211" s="1"/>
      <c r="T211" s="31">
        <v>44768</v>
      </c>
      <c r="U211" s="1" t="s">
        <v>90</v>
      </c>
      <c r="V211" s="31">
        <v>44652</v>
      </c>
      <c r="W211" s="1">
        <f t="shared" ca="1" si="6"/>
        <v>4</v>
      </c>
      <c r="X211" s="1" cm="1">
        <f t="array" aca="1" ref="X211" ca="1">_xlfn.IFS(W210=1,8%,W210=2,10%,W210&gt;2,10%,W210&lt;1,0)</f>
        <v>0.1</v>
      </c>
      <c r="Y211" s="35" t="str">
        <f t="shared" si="7"/>
        <v>IMS</v>
      </c>
      <c r="Z211" s="40"/>
      <c r="AA211" s="1" t="str">
        <f>LEFT(PMS_Catalog[[#This Row],[WU Id]],3)</f>
        <v>IMS</v>
      </c>
    </row>
    <row r="212" spans="1:16358" ht="39" customHeight="1">
      <c r="A212" s="4" t="s">
        <v>861</v>
      </c>
      <c r="B212" s="4" t="s">
        <v>78</v>
      </c>
      <c r="C212" s="4" t="s">
        <v>79</v>
      </c>
      <c r="D212" s="4" t="s">
        <v>80</v>
      </c>
      <c r="E212" s="1" t="s">
        <v>80</v>
      </c>
      <c r="F212" s="13" t="s">
        <v>140</v>
      </c>
      <c r="G212" s="21" t="s">
        <v>862</v>
      </c>
      <c r="H212" s="21" t="s">
        <v>863</v>
      </c>
      <c r="I212" s="4" t="s">
        <v>89</v>
      </c>
      <c r="J212" s="4" t="s">
        <v>89</v>
      </c>
      <c r="K212" s="4" t="s">
        <v>89</v>
      </c>
      <c r="L212" s="4" t="s">
        <v>89</v>
      </c>
      <c r="M212" s="21">
        <v>21.75</v>
      </c>
      <c r="N212" s="34" t="s">
        <v>7</v>
      </c>
      <c r="O212" s="34" t="str">
        <f>IF(ISNUMBER(SEARCH("IMS",PMS_Catalog[[#This Row],[WU Id]])),"IMS",PMS_Catalog[[#This Row],[UNIQUE PRICE per hour]]*PMS_Catalog[[#This Row],[PMS Effort (Hours)]])</f>
        <v>IMS</v>
      </c>
      <c r="P212" s="34" t="s">
        <v>99</v>
      </c>
      <c r="Q212" s="53" t="s">
        <v>88</v>
      </c>
      <c r="R212" s="1" t="s">
        <v>89</v>
      </c>
      <c r="S212" s="1"/>
      <c r="T212" s="31">
        <v>44768</v>
      </c>
      <c r="U212" s="1" t="s">
        <v>90</v>
      </c>
      <c r="V212" s="31">
        <v>44652</v>
      </c>
      <c r="W212" s="1">
        <f t="shared" ca="1" si="6"/>
        <v>4</v>
      </c>
      <c r="X212" s="1" cm="1">
        <f t="array" aca="1" ref="X212" ca="1">_xlfn.IFS(W211=1,8%,W211=2,10%,W211&gt;2,10%,W211&lt;1,0)</f>
        <v>0.1</v>
      </c>
      <c r="Y212" s="35" t="str">
        <f t="shared" si="7"/>
        <v>IMS</v>
      </c>
      <c r="Z212" s="40"/>
      <c r="AA212" s="1" t="str">
        <f>LEFT(PMS_Catalog[[#This Row],[WU Id]],3)</f>
        <v>IMS</v>
      </c>
    </row>
    <row r="213" spans="1:16358" ht="39" customHeight="1">
      <c r="A213" s="4" t="s">
        <v>864</v>
      </c>
      <c r="B213" s="4" t="s">
        <v>78</v>
      </c>
      <c r="C213" s="4" t="s">
        <v>248</v>
      </c>
      <c r="D213" s="4" t="s">
        <v>249</v>
      </c>
      <c r="E213" s="4" t="s">
        <v>249</v>
      </c>
      <c r="F213" s="13" t="s">
        <v>599</v>
      </c>
      <c r="G213" s="21" t="s">
        <v>865</v>
      </c>
      <c r="H213" s="21" t="s">
        <v>866</v>
      </c>
      <c r="I213" s="4" t="s">
        <v>89</v>
      </c>
      <c r="J213" s="4" t="s">
        <v>89</v>
      </c>
      <c r="K213" s="4" t="s">
        <v>89</v>
      </c>
      <c r="L213" s="4" t="s">
        <v>585</v>
      </c>
      <c r="M213" s="21">
        <v>21.75</v>
      </c>
      <c r="N213" s="34" t="s">
        <v>7</v>
      </c>
      <c r="O213" s="34" t="str">
        <f>IF(ISNUMBER(SEARCH("IMS",PMS_Catalog[[#This Row],[WU Id]])),"IMS",PMS_Catalog[[#This Row],[UNIQUE PRICE per hour]]*PMS_Catalog[[#This Row],[PMS Effort (Hours)]])</f>
        <v>IMS</v>
      </c>
      <c r="P213" s="34">
        <v>3</v>
      </c>
      <c r="Q213" s="53" t="s">
        <v>88</v>
      </c>
      <c r="R213" s="1" t="s">
        <v>89</v>
      </c>
      <c r="S213" s="1"/>
      <c r="T213" s="31">
        <v>44768</v>
      </c>
      <c r="U213" s="1" t="s">
        <v>90</v>
      </c>
      <c r="V213" s="31">
        <v>44652</v>
      </c>
      <c r="W213" s="1">
        <f t="shared" ca="1" si="6"/>
        <v>4</v>
      </c>
      <c r="X213" s="1" cm="1">
        <f t="array" aca="1" ref="X213" ca="1">_xlfn.IFS(W212=1,8%,W212=2,10%,W212&gt;2,10%,W212&lt;1,0)</f>
        <v>0.1</v>
      </c>
      <c r="Y213" s="35" t="str">
        <f t="shared" si="7"/>
        <v>IMS</v>
      </c>
      <c r="Z213" s="40"/>
      <c r="AA213" s="1" t="str">
        <f>LEFT(PMS_Catalog[[#This Row],[WU Id]],3)</f>
        <v>IMS</v>
      </c>
    </row>
    <row r="214" spans="1:16358" ht="39" customHeight="1">
      <c r="A214" s="4" t="s">
        <v>867</v>
      </c>
      <c r="B214" s="4" t="s">
        <v>78</v>
      </c>
      <c r="C214" s="4" t="s">
        <v>92</v>
      </c>
      <c r="D214" s="4" t="s">
        <v>108</v>
      </c>
      <c r="E214" s="4" t="s">
        <v>109</v>
      </c>
      <c r="F214" s="13" t="s">
        <v>81</v>
      </c>
      <c r="G214" s="21" t="s">
        <v>868</v>
      </c>
      <c r="H214" s="21" t="s">
        <v>869</v>
      </c>
      <c r="I214" s="4" t="s">
        <v>112</v>
      </c>
      <c r="J214" s="4" t="s">
        <v>113</v>
      </c>
      <c r="K214" s="4" t="s">
        <v>89</v>
      </c>
      <c r="L214" s="1" t="s">
        <v>89</v>
      </c>
      <c r="M214" s="21">
        <v>21.75</v>
      </c>
      <c r="N214" s="34" t="s">
        <v>7</v>
      </c>
      <c r="O214" s="34" t="str">
        <f>IF(ISNUMBER(SEARCH("IMS",PMS_Catalog[[#This Row],[WU Id]])),"IMS",PMS_Catalog[[#This Row],[UNIQUE PRICE per hour]]*PMS_Catalog[[#This Row],[PMS Effort (Hours)]])</f>
        <v>IMS</v>
      </c>
      <c r="P214" s="34">
        <v>5</v>
      </c>
      <c r="Q214" s="53" t="s">
        <v>88</v>
      </c>
      <c r="R214" s="1" t="s">
        <v>89</v>
      </c>
      <c r="S214" s="1"/>
      <c r="T214" s="31">
        <v>44768</v>
      </c>
      <c r="U214" s="1" t="s">
        <v>90</v>
      </c>
      <c r="V214" s="31">
        <v>44652</v>
      </c>
      <c r="W214" s="1">
        <f t="shared" ca="1" si="6"/>
        <v>4</v>
      </c>
      <c r="X214" s="1" cm="1">
        <f t="array" aca="1" ref="X214" ca="1">_xlfn.IFS(W213=1,8%,W213=2,10%,W213&gt;2,10%,W213&lt;1,0)</f>
        <v>0.1</v>
      </c>
      <c r="Y214" s="35" t="str">
        <f t="shared" si="7"/>
        <v>IMS</v>
      </c>
      <c r="Z214" s="40"/>
      <c r="AA214" s="1" t="str">
        <f>LEFT(PMS_Catalog[[#This Row],[WU Id]],3)</f>
        <v>IMS</v>
      </c>
    </row>
    <row r="215" spans="1:16358" ht="39" customHeight="1">
      <c r="A215" s="4" t="s">
        <v>870</v>
      </c>
      <c r="B215" s="4" t="s">
        <v>78</v>
      </c>
      <c r="C215" s="4" t="s">
        <v>92</v>
      </c>
      <c r="D215" s="4" t="s">
        <v>124</v>
      </c>
      <c r="E215" s="1" t="s">
        <v>124</v>
      </c>
      <c r="F215" s="13" t="s">
        <v>81</v>
      </c>
      <c r="G215" s="21" t="s">
        <v>871</v>
      </c>
      <c r="H215" s="21" t="s">
        <v>872</v>
      </c>
      <c r="I215" s="4" t="s">
        <v>128</v>
      </c>
      <c r="J215" s="4" t="s">
        <v>89</v>
      </c>
      <c r="K215" s="4" t="s">
        <v>89</v>
      </c>
      <c r="L215" s="1" t="s">
        <v>89</v>
      </c>
      <c r="M215" s="21">
        <v>21.75</v>
      </c>
      <c r="N215" s="34" t="s">
        <v>7</v>
      </c>
      <c r="O215" s="34" t="str">
        <f>IF(ISNUMBER(SEARCH("IMS",PMS_Catalog[[#This Row],[WU Id]])),"IMS",PMS_Catalog[[#This Row],[UNIQUE PRICE per hour]]*PMS_Catalog[[#This Row],[PMS Effort (Hours)]])</f>
        <v>IMS</v>
      </c>
      <c r="P215" s="34" t="s">
        <v>99</v>
      </c>
      <c r="Q215" s="53" t="s">
        <v>88</v>
      </c>
      <c r="R215" s="1" t="s">
        <v>89</v>
      </c>
      <c r="S215" s="1"/>
      <c r="T215" s="31">
        <v>44768</v>
      </c>
      <c r="U215" s="1" t="s">
        <v>90</v>
      </c>
      <c r="V215" s="31">
        <v>44652</v>
      </c>
      <c r="W215" s="1">
        <f t="shared" ca="1" si="6"/>
        <v>4</v>
      </c>
      <c r="X215" s="1" cm="1">
        <f t="array" aca="1" ref="X215" ca="1">_xlfn.IFS(W214=1,8%,W214=2,10%,W214&gt;2,10%,W214&lt;1,0)</f>
        <v>0.1</v>
      </c>
      <c r="Y215" s="35" t="str">
        <f t="shared" si="7"/>
        <v>IMS</v>
      </c>
      <c r="Z215" s="40"/>
      <c r="AA215" s="1" t="str">
        <f>LEFT(PMS_Catalog[[#This Row],[WU Id]],3)</f>
        <v>IMS</v>
      </c>
    </row>
    <row r="216" spans="1:16358" ht="39" customHeight="1">
      <c r="A216" s="4" t="s">
        <v>873</v>
      </c>
      <c r="B216" s="4" t="s">
        <v>78</v>
      </c>
      <c r="C216" s="4" t="s">
        <v>92</v>
      </c>
      <c r="D216" s="4" t="s">
        <v>139</v>
      </c>
      <c r="E216" s="4" t="s">
        <v>139</v>
      </c>
      <c r="F216" s="13" t="s">
        <v>140</v>
      </c>
      <c r="G216" s="21" t="s">
        <v>874</v>
      </c>
      <c r="H216" s="21" t="s">
        <v>875</v>
      </c>
      <c r="I216" s="4" t="s">
        <v>876</v>
      </c>
      <c r="J216" s="4" t="s">
        <v>877</v>
      </c>
      <c r="K216" s="4" t="s">
        <v>143</v>
      </c>
      <c r="L216" s="1" t="s">
        <v>89</v>
      </c>
      <c r="M216" s="21">
        <v>21.75</v>
      </c>
      <c r="N216" s="34" t="s">
        <v>7</v>
      </c>
      <c r="O216" s="34" t="str">
        <f>IF(ISNUMBER(SEARCH("IMS",PMS_Catalog[[#This Row],[WU Id]])),"IMS",PMS_Catalog[[#This Row],[UNIQUE PRICE per hour]]*PMS_Catalog[[#This Row],[PMS Effort (Hours)]])</f>
        <v>IMS</v>
      </c>
      <c r="P216" s="34">
        <v>4</v>
      </c>
      <c r="Q216" s="53" t="s">
        <v>88</v>
      </c>
      <c r="R216" s="1" t="s">
        <v>89</v>
      </c>
      <c r="S216" s="1"/>
      <c r="T216" s="31">
        <v>45021</v>
      </c>
      <c r="U216" s="1" t="s">
        <v>149</v>
      </c>
      <c r="V216" s="31">
        <v>45021</v>
      </c>
      <c r="W216" s="1">
        <f t="shared" ca="1" si="6"/>
        <v>3</v>
      </c>
      <c r="X216" s="1" cm="1">
        <f t="array" aca="1" ref="X216" ca="1">_xlfn.IFS(W215=1,8%,W215=2,10%,W215&gt;2,10%,W215&lt;1,0)</f>
        <v>0.1</v>
      </c>
      <c r="Y216" s="35" t="str">
        <f t="shared" si="7"/>
        <v>IMS</v>
      </c>
      <c r="Z216" s="40"/>
      <c r="AA216" s="1" t="str">
        <f>LEFT(PMS_Catalog[[#This Row],[WU Id]],3)</f>
        <v>IMS</v>
      </c>
    </row>
    <row r="217" spans="1:16358" ht="39" customHeight="1">
      <c r="A217" s="1" t="s">
        <v>878</v>
      </c>
      <c r="B217" s="1" t="s">
        <v>78</v>
      </c>
      <c r="C217" s="1" t="s">
        <v>92</v>
      </c>
      <c r="D217" s="1" t="s">
        <v>450</v>
      </c>
      <c r="E217" s="1" t="s">
        <v>711</v>
      </c>
      <c r="F217" s="13" t="s">
        <v>81</v>
      </c>
      <c r="G217" s="21" t="s">
        <v>845</v>
      </c>
      <c r="H217" s="21" t="s">
        <v>879</v>
      </c>
      <c r="I217" s="1" t="s">
        <v>89</v>
      </c>
      <c r="J217" s="1" t="s">
        <v>89</v>
      </c>
      <c r="K217" s="1" t="s">
        <v>89</v>
      </c>
      <c r="L217" s="1" t="s">
        <v>89</v>
      </c>
      <c r="M217" s="2">
        <v>21.75</v>
      </c>
      <c r="N217" s="34" t="s">
        <v>7</v>
      </c>
      <c r="O217" s="34" t="str">
        <f>IF(ISNUMBER(SEARCH("IMS",PMS_Catalog[[#This Row],[WU Id]])),"IMS",PMS_Catalog[[#This Row],[UNIQUE PRICE per hour]]*PMS_Catalog[[#This Row],[PMS Effort (Hours)]])</f>
        <v>IMS</v>
      </c>
      <c r="P217" s="34" t="s">
        <v>458</v>
      </c>
      <c r="Q217" s="53" t="s">
        <v>88</v>
      </c>
      <c r="R217" s="1" t="s">
        <v>89</v>
      </c>
      <c r="S217" s="1"/>
      <c r="T217" s="31">
        <v>44768</v>
      </c>
      <c r="U217" s="1" t="s">
        <v>90</v>
      </c>
      <c r="V217" s="31">
        <v>44652</v>
      </c>
      <c r="W217" s="1">
        <f t="shared" ca="1" si="6"/>
        <v>4</v>
      </c>
      <c r="X217" s="1" cm="1">
        <f t="array" aca="1" ref="X217" ca="1">_xlfn.IFS(W216=1,8%,W216=2,10%,W216&gt;2,10%,W216&lt;1,0)</f>
        <v>0.1</v>
      </c>
      <c r="Y217" s="35" t="str">
        <f t="shared" si="7"/>
        <v>IMS</v>
      </c>
      <c r="Z217" s="40"/>
      <c r="AA217" s="1" t="str">
        <f>LEFT(PMS_Catalog[[#This Row],[WU Id]],3)</f>
        <v>IMS</v>
      </c>
    </row>
    <row r="218" spans="1:16358" ht="39" customHeight="1">
      <c r="A218" s="1" t="s">
        <v>880</v>
      </c>
      <c r="B218" s="1" t="s">
        <v>78</v>
      </c>
      <c r="C218" s="1" t="s">
        <v>92</v>
      </c>
      <c r="D218" s="1" t="s">
        <v>450</v>
      </c>
      <c r="E218" s="1" t="s">
        <v>711</v>
      </c>
      <c r="F218" s="13" t="s">
        <v>134</v>
      </c>
      <c r="G218" s="21" t="s">
        <v>848</v>
      </c>
      <c r="H218" s="21" t="s">
        <v>881</v>
      </c>
      <c r="I218" s="1" t="s">
        <v>89</v>
      </c>
      <c r="J218" s="1" t="s">
        <v>89</v>
      </c>
      <c r="K218" s="1" t="s">
        <v>89</v>
      </c>
      <c r="L218" s="1" t="s">
        <v>89</v>
      </c>
      <c r="M218" s="2">
        <v>21.75</v>
      </c>
      <c r="N218" s="34" t="s">
        <v>7</v>
      </c>
      <c r="O218" s="34" t="str">
        <f>IF(ISNUMBER(SEARCH("IMS",PMS_Catalog[[#This Row],[WU Id]])),"IMS",PMS_Catalog[[#This Row],[UNIQUE PRICE per hour]]*PMS_Catalog[[#This Row],[PMS Effort (Hours)]])</f>
        <v>IMS</v>
      </c>
      <c r="P218" s="34" t="s">
        <v>458</v>
      </c>
      <c r="Q218" s="53" t="s">
        <v>88</v>
      </c>
      <c r="R218" s="1" t="s">
        <v>89</v>
      </c>
      <c r="S218" s="1"/>
      <c r="T218" s="31">
        <v>44768</v>
      </c>
      <c r="U218" s="1" t="s">
        <v>90</v>
      </c>
      <c r="V218" s="31">
        <v>44652</v>
      </c>
      <c r="W218" s="1">
        <f t="shared" ca="1" si="6"/>
        <v>4</v>
      </c>
      <c r="X218" s="1" cm="1">
        <f t="array" aca="1" ref="X218" ca="1">_xlfn.IFS(W217=1,8%,W217=2,10%,W217&gt;2,10%,W217&lt;1,0)</f>
        <v>0.1</v>
      </c>
      <c r="Y218" s="35" t="str">
        <f t="shared" si="7"/>
        <v>IMS</v>
      </c>
      <c r="Z218" s="40"/>
      <c r="AA218" s="1" t="str">
        <f>LEFT(PMS_Catalog[[#This Row],[WU Id]],3)</f>
        <v>IMS</v>
      </c>
    </row>
    <row r="219" spans="1:16358" ht="39" customHeight="1">
      <c r="A219" s="1" t="s">
        <v>882</v>
      </c>
      <c r="B219" s="1" t="s">
        <v>78</v>
      </c>
      <c r="C219" s="1" t="s">
        <v>92</v>
      </c>
      <c r="D219" s="1" t="s">
        <v>450</v>
      </c>
      <c r="E219" s="1" t="s">
        <v>451</v>
      </c>
      <c r="F219" s="12" t="s">
        <v>280</v>
      </c>
      <c r="G219" s="21" t="s">
        <v>883</v>
      </c>
      <c r="H219" s="21" t="s">
        <v>453</v>
      </c>
      <c r="I219" s="1" t="s">
        <v>89</v>
      </c>
      <c r="J219" s="1" t="s">
        <v>89</v>
      </c>
      <c r="K219" s="1" t="s">
        <v>89</v>
      </c>
      <c r="L219" s="1" t="s">
        <v>456</v>
      </c>
      <c r="M219" s="2" t="s">
        <v>457</v>
      </c>
      <c r="N219" s="30" t="s">
        <v>457</v>
      </c>
      <c r="O219" s="30">
        <f>IF(PMS_Catalog[[#This Row],[WRITE HERE THE NUMBER that you need for : JOBS for PMS_WU_7003 and 7002 OR  for WU PMS_WU_2017 and 2020 and 2241 and 2242]]=0,0,25+((PMS_Catalog[[#This Row],[WRITE HERE THE NUMBER that you need for : JOBS for PMS_WU_7003 and 7002 OR  for WU PMS_WU_2017 and 2020 and 2241 and 2242]]-1)*25*0.6))</f>
        <v>0</v>
      </c>
      <c r="P219" s="30" t="s">
        <v>458</v>
      </c>
      <c r="Q219" s="53" t="s">
        <v>88</v>
      </c>
      <c r="R219" s="1">
        <v>0.6</v>
      </c>
      <c r="S219" s="1" t="s">
        <v>459</v>
      </c>
      <c r="T219" s="31">
        <v>44768</v>
      </c>
      <c r="U219" s="1" t="s">
        <v>90</v>
      </c>
      <c r="V219" s="31">
        <v>44652</v>
      </c>
      <c r="W219" s="1">
        <f t="shared" ca="1" si="6"/>
        <v>4</v>
      </c>
      <c r="X219" s="1" cm="1">
        <f t="array" aca="1" ref="X219" ca="1">_xlfn.IFS(W218=1,8%,W218=2,10%,W218&gt;2,10%,W218&lt;1,0)</f>
        <v>0.1</v>
      </c>
      <c r="Y219" s="35">
        <f t="shared" ca="1" si="7"/>
        <v>0</v>
      </c>
      <c r="Z219" s="1">
        <v>0</v>
      </c>
      <c r="AA219" s="1" t="str">
        <f>LEFT(PMS_Catalog[[#This Row],[WU Id]],3)</f>
        <v>PMS</v>
      </c>
    </row>
    <row r="220" spans="1:16358" ht="39" customHeight="1">
      <c r="A220" s="1" t="s">
        <v>884</v>
      </c>
      <c r="B220" s="1" t="s">
        <v>78</v>
      </c>
      <c r="C220" s="1" t="s">
        <v>92</v>
      </c>
      <c r="D220" s="1" t="s">
        <v>288</v>
      </c>
      <c r="E220" s="1" t="s">
        <v>289</v>
      </c>
      <c r="F220" s="11" t="s">
        <v>192</v>
      </c>
      <c r="G220" s="21" t="s">
        <v>885</v>
      </c>
      <c r="H220" s="21" t="s">
        <v>291</v>
      </c>
      <c r="I220" s="1" t="s">
        <v>886</v>
      </c>
      <c r="J220" s="1" t="s">
        <v>887</v>
      </c>
      <c r="K220" s="1" t="s">
        <v>89</v>
      </c>
      <c r="L220" s="1" t="s">
        <v>277</v>
      </c>
      <c r="M220" s="2">
        <v>21.75</v>
      </c>
      <c r="N220" s="30">
        <v>22.099999999999998</v>
      </c>
      <c r="O220" s="30">
        <f>IF(ISNUMBER(SEARCH("IMS",PMS_Catalog[[#This Row],[WU Id]])),"IMS",PMS_Catalog[[#This Row],[UNIQUE PRICE per hour]]*PMS_Catalog[[#This Row],[PMS Effort (Hours)]])</f>
        <v>480.67499999999995</v>
      </c>
      <c r="P220" s="30">
        <v>15</v>
      </c>
      <c r="Q220" s="53" t="s">
        <v>88</v>
      </c>
      <c r="R220" s="1" t="s">
        <v>89</v>
      </c>
      <c r="S220" s="1"/>
      <c r="T220" s="31">
        <v>44768</v>
      </c>
      <c r="U220" s="1" t="s">
        <v>90</v>
      </c>
      <c r="V220" s="31">
        <v>44652</v>
      </c>
      <c r="W220" s="1">
        <f t="shared" ca="1" si="6"/>
        <v>4</v>
      </c>
      <c r="X220" s="1" cm="1">
        <f t="array" aca="1" ref="X220" ca="1">_xlfn.IFS(W219=1,8%,W219=2,10%,W219&gt;2,10%,W219&lt;1,0)</f>
        <v>0.1</v>
      </c>
      <c r="Y220" s="35">
        <f t="shared" ca="1" si="7"/>
        <v>432.60749999999996</v>
      </c>
      <c r="Z220" s="40"/>
      <c r="AA220" s="1" t="str">
        <f>LEFT(PMS_Catalog[[#This Row],[WU Id]],3)</f>
        <v>PMS</v>
      </c>
    </row>
    <row r="221" spans="1:16358" ht="99" customHeight="1">
      <c r="A221" s="4" t="s">
        <v>888</v>
      </c>
      <c r="B221" s="4" t="s">
        <v>78</v>
      </c>
      <c r="C221" s="4" t="s">
        <v>92</v>
      </c>
      <c r="D221" s="4" t="s">
        <v>889</v>
      </c>
      <c r="E221" s="4" t="s">
        <v>890</v>
      </c>
      <c r="F221" s="11" t="s">
        <v>192</v>
      </c>
      <c r="G221" s="21" t="s">
        <v>290</v>
      </c>
      <c r="H221" s="21" t="s">
        <v>291</v>
      </c>
      <c r="I221" s="4" t="s">
        <v>309</v>
      </c>
      <c r="J221" s="4" t="s">
        <v>310</v>
      </c>
      <c r="K221" s="4" t="s">
        <v>89</v>
      </c>
      <c r="L221" s="4" t="s">
        <v>277</v>
      </c>
      <c r="M221" s="21">
        <v>21.75</v>
      </c>
      <c r="N221" s="30">
        <v>22.099999999999998</v>
      </c>
      <c r="O221" s="30">
        <f>IF(ISNUMBER(SEARCH("IMS",PMS_Catalog[[#This Row],[WU Id]])),"IMS",PMS_Catalog[[#This Row],[UNIQUE PRICE per hour]]*PMS_Catalog[[#This Row],[PMS Effort (Hours)]])</f>
        <v>480.67499999999995</v>
      </c>
      <c r="P221" s="30">
        <v>15</v>
      </c>
      <c r="Q221" s="53" t="s">
        <v>88</v>
      </c>
      <c r="R221" s="1" t="s">
        <v>89</v>
      </c>
      <c r="S221" s="1"/>
      <c r="T221" s="31">
        <v>44768</v>
      </c>
      <c r="U221" s="1" t="s">
        <v>90</v>
      </c>
      <c r="V221" s="31">
        <v>44652</v>
      </c>
      <c r="W221" s="1">
        <f t="shared" ca="1" si="6"/>
        <v>4</v>
      </c>
      <c r="X221" s="1" cm="1">
        <f t="array" aca="1" ref="X221" ca="1">_xlfn.IFS(W220=1,8%,W220=2,10%,W220&gt;2,10%,W220&lt;1,0)</f>
        <v>0.1</v>
      </c>
      <c r="Y221" s="35">
        <f t="shared" ca="1" si="7"/>
        <v>432.60749999999996</v>
      </c>
      <c r="Z221" s="40"/>
      <c r="AA221" s="1" t="str">
        <f>LEFT(PMS_Catalog[[#This Row],[WU Id]],3)</f>
        <v>PMS</v>
      </c>
    </row>
    <row r="222" spans="1:16358" ht="39" customHeight="1">
      <c r="A222" s="4" t="s">
        <v>891</v>
      </c>
      <c r="B222" s="4" t="s">
        <v>78</v>
      </c>
      <c r="C222" s="4" t="s">
        <v>92</v>
      </c>
      <c r="D222" s="4" t="s">
        <v>327</v>
      </c>
      <c r="E222" s="4" t="s">
        <v>328</v>
      </c>
      <c r="F222" s="11" t="s">
        <v>192</v>
      </c>
      <c r="G222" s="21" t="s">
        <v>885</v>
      </c>
      <c r="H222" s="21" t="s">
        <v>291</v>
      </c>
      <c r="I222" s="4" t="s">
        <v>886</v>
      </c>
      <c r="J222" s="4" t="s">
        <v>887</v>
      </c>
      <c r="K222" s="4" t="s">
        <v>89</v>
      </c>
      <c r="L222" s="4" t="s">
        <v>277</v>
      </c>
      <c r="M222" s="21">
        <v>21.75</v>
      </c>
      <c r="N222" s="30">
        <v>22.099999999999998</v>
      </c>
      <c r="O222" s="30">
        <f>IF(ISNUMBER(SEARCH("IMS",PMS_Catalog[[#This Row],[WU Id]])),"IMS",PMS_Catalog[[#This Row],[UNIQUE PRICE per hour]]*PMS_Catalog[[#This Row],[PMS Effort (Hours)]])</f>
        <v>480.67499999999995</v>
      </c>
      <c r="P222" s="30">
        <v>15</v>
      </c>
      <c r="Q222" s="53" t="s">
        <v>88</v>
      </c>
      <c r="R222" s="1" t="s">
        <v>89</v>
      </c>
      <c r="S222" s="1"/>
      <c r="T222" s="31">
        <v>44768</v>
      </c>
      <c r="U222" s="1" t="s">
        <v>90</v>
      </c>
      <c r="V222" s="31">
        <v>44652</v>
      </c>
      <c r="W222" s="1">
        <f t="shared" ca="1" si="6"/>
        <v>4</v>
      </c>
      <c r="X222" s="1" cm="1">
        <f t="array" aca="1" ref="X222" ca="1">_xlfn.IFS(W221=1,8%,W221=2,10%,W221&gt;2,10%,W221&lt;1,0)</f>
        <v>0.1</v>
      </c>
      <c r="Y222" s="35">
        <f t="shared" ca="1" si="7"/>
        <v>432.60749999999996</v>
      </c>
      <c r="Z222" s="40"/>
      <c r="AA222" s="1" t="str">
        <f>LEFT(PMS_Catalog[[#This Row],[WU Id]],3)</f>
        <v>PMS</v>
      </c>
    </row>
    <row r="223" spans="1:16358" ht="39" customHeight="1">
      <c r="A223" s="1" t="s">
        <v>892</v>
      </c>
      <c r="B223" s="1" t="s">
        <v>78</v>
      </c>
      <c r="C223" s="1" t="s">
        <v>92</v>
      </c>
      <c r="D223" s="1" t="s">
        <v>108</v>
      </c>
      <c r="E223" s="1" t="s">
        <v>893</v>
      </c>
      <c r="F223" s="12" t="s">
        <v>192</v>
      </c>
      <c r="G223" s="21" t="s">
        <v>894</v>
      </c>
      <c r="H223" s="21" t="s">
        <v>214</v>
      </c>
      <c r="I223" s="1" t="s">
        <v>895</v>
      </c>
      <c r="J223" s="1" t="s">
        <v>89</v>
      </c>
      <c r="K223" s="1" t="s">
        <v>89</v>
      </c>
      <c r="L223" s="1" t="s">
        <v>206</v>
      </c>
      <c r="M223" s="2">
        <v>21.75</v>
      </c>
      <c r="N223" s="30">
        <v>3.6</v>
      </c>
      <c r="O223" s="30">
        <f>IF(ISNUMBER(SEARCH("IMS",PMS_Catalog[[#This Row],[WU Id]])),"IMS",PMS_Catalog[[#This Row],[UNIQUE PRICE per hour]]*PMS_Catalog[[#This Row],[PMS Effort (Hours)]])</f>
        <v>78.3</v>
      </c>
      <c r="P223" s="30">
        <v>7</v>
      </c>
      <c r="Q223" s="53" t="s">
        <v>88</v>
      </c>
      <c r="R223" s="1" t="s">
        <v>89</v>
      </c>
      <c r="S223" s="1"/>
      <c r="T223" s="31">
        <v>44768</v>
      </c>
      <c r="U223" s="1" t="s">
        <v>90</v>
      </c>
      <c r="V223" s="31">
        <v>44652</v>
      </c>
      <c r="W223" s="1">
        <f t="shared" ca="1" si="6"/>
        <v>4</v>
      </c>
      <c r="X223" s="1" cm="1">
        <f t="array" aca="1" ref="X223" ca="1">_xlfn.IFS(W222=1,8%,W222=2,10%,W222&gt;2,10%,W222&lt;1,0)</f>
        <v>0.1</v>
      </c>
      <c r="Y223" s="35">
        <f t="shared" ca="1" si="7"/>
        <v>70.47</v>
      </c>
      <c r="Z223" s="40"/>
      <c r="AA223" s="1" t="str">
        <f>LEFT(PMS_Catalog[[#This Row],[WU Id]],3)</f>
        <v>PMS</v>
      </c>
    </row>
    <row r="224" spans="1:16358" ht="39" customHeight="1">
      <c r="A224" s="4" t="s">
        <v>896</v>
      </c>
      <c r="B224" s="4" t="s">
        <v>78</v>
      </c>
      <c r="C224" s="4" t="s">
        <v>92</v>
      </c>
      <c r="D224" s="4" t="s">
        <v>461</v>
      </c>
      <c r="E224" s="4" t="s">
        <v>462</v>
      </c>
      <c r="F224" s="11" t="s">
        <v>192</v>
      </c>
      <c r="G224" s="21" t="s">
        <v>897</v>
      </c>
      <c r="H224" s="21">
        <v>0</v>
      </c>
      <c r="I224" s="1" t="s">
        <v>89</v>
      </c>
      <c r="J224" s="1" t="s">
        <v>89</v>
      </c>
      <c r="K224" s="1" t="s">
        <v>898</v>
      </c>
      <c r="L224" s="1" t="s">
        <v>899</v>
      </c>
      <c r="M224" s="2">
        <v>21.75</v>
      </c>
      <c r="N224" s="30">
        <v>2</v>
      </c>
      <c r="O224" s="30">
        <f>IF(ISNUMBER(SEARCH("IMS",PMS_Catalog[[#This Row],[WU Id]])),"IMS",PMS_Catalog[[#This Row],[UNIQUE PRICE per hour]]*PMS_Catalog[[#This Row],[PMS Effort (Hours)]])</f>
        <v>43.5</v>
      </c>
      <c r="P224" s="30">
        <v>7</v>
      </c>
      <c r="Q224" s="53" t="s">
        <v>88</v>
      </c>
      <c r="R224" s="1" t="s">
        <v>89</v>
      </c>
      <c r="S224" s="1"/>
      <c r="T224" s="31">
        <v>45086</v>
      </c>
      <c r="U224" s="1" t="s">
        <v>278</v>
      </c>
      <c r="V224" s="31">
        <v>45086</v>
      </c>
      <c r="W224" s="1">
        <f t="shared" ca="1" si="6"/>
        <v>3</v>
      </c>
      <c r="X224" s="1" cm="1">
        <f t="array" aca="1" ref="X224" ca="1">_xlfn.IFS(W223=1,8%,W223=2,10%,W223&gt;2,10%,W223&lt;1,0)</f>
        <v>0.1</v>
      </c>
      <c r="Y224" s="35">
        <f t="shared" ca="1" si="7"/>
        <v>39.15</v>
      </c>
      <c r="Z224" s="40"/>
      <c r="AA224" s="1" t="str">
        <f>LEFT(PMS_Catalog[[#This Row],[WU Id]],3)</f>
        <v>PMS</v>
      </c>
    </row>
    <row r="225" spans="1:27" ht="39" customHeight="1">
      <c r="A225" s="4" t="s">
        <v>900</v>
      </c>
      <c r="B225" s="4" t="s">
        <v>78</v>
      </c>
      <c r="C225" s="4" t="s">
        <v>901</v>
      </c>
      <c r="D225" s="4" t="s">
        <v>461</v>
      </c>
      <c r="E225" s="4" t="s">
        <v>462</v>
      </c>
      <c r="F225" s="11" t="s">
        <v>192</v>
      </c>
      <c r="G225" s="21" t="s">
        <v>902</v>
      </c>
      <c r="H225" s="21" t="s">
        <v>464</v>
      </c>
      <c r="I225" s="4" t="s">
        <v>903</v>
      </c>
      <c r="J225" s="4" t="s">
        <v>904</v>
      </c>
      <c r="K225" s="4" t="s">
        <v>898</v>
      </c>
      <c r="L225" s="4" t="s">
        <v>465</v>
      </c>
      <c r="M225" s="21">
        <v>21.75</v>
      </c>
      <c r="N225" s="30">
        <v>10.199999999999999</v>
      </c>
      <c r="O225" s="30">
        <f>IF(ISNUMBER(SEARCH("IMS",PMS_Catalog[[#This Row],[WU Id]])),"IMS",PMS_Catalog[[#This Row],[UNIQUE PRICE per hour]]*PMS_Catalog[[#This Row],[PMS Effort (Hours)]])</f>
        <v>221.85</v>
      </c>
      <c r="P225" s="30">
        <v>5</v>
      </c>
      <c r="Q225" s="53" t="s">
        <v>88</v>
      </c>
      <c r="R225" s="1" t="s">
        <v>89</v>
      </c>
      <c r="S225" s="1"/>
      <c r="T225" s="31">
        <v>44768</v>
      </c>
      <c r="U225" s="1" t="s">
        <v>90</v>
      </c>
      <c r="V225" s="31">
        <v>44652</v>
      </c>
      <c r="W225" s="1">
        <f t="shared" ca="1" si="6"/>
        <v>4</v>
      </c>
      <c r="X225" s="1" cm="1">
        <f t="array" aca="1" ref="X225" ca="1">_xlfn.IFS(W224=1,8%,W224=2,10%,W224&gt;2,10%,W224&lt;1,0)</f>
        <v>0.1</v>
      </c>
      <c r="Y225" s="35">
        <f t="shared" ca="1" si="7"/>
        <v>199.66499999999999</v>
      </c>
      <c r="Z225" s="40"/>
      <c r="AA225" s="1" t="str">
        <f>LEFT(PMS_Catalog[[#This Row],[WU Id]],3)</f>
        <v>PMS</v>
      </c>
    </row>
    <row r="226" spans="1:27" ht="39" customHeight="1">
      <c r="A226" s="1" t="s">
        <v>905</v>
      </c>
      <c r="B226" s="1" t="s">
        <v>78</v>
      </c>
      <c r="C226" s="1" t="s">
        <v>92</v>
      </c>
      <c r="D226" s="1" t="s">
        <v>461</v>
      </c>
      <c r="E226" s="1" t="s">
        <v>462</v>
      </c>
      <c r="F226" s="11" t="s">
        <v>192</v>
      </c>
      <c r="G226" s="21" t="s">
        <v>906</v>
      </c>
      <c r="H226" s="21" t="s">
        <v>464</v>
      </c>
      <c r="I226" s="4" t="s">
        <v>907</v>
      </c>
      <c r="J226" s="4" t="s">
        <v>908</v>
      </c>
      <c r="K226" s="4" t="s">
        <v>89</v>
      </c>
      <c r="L226" s="4" t="s">
        <v>465</v>
      </c>
      <c r="M226" s="21">
        <v>21.75</v>
      </c>
      <c r="N226" s="30">
        <v>10.199999999999999</v>
      </c>
      <c r="O226" s="30">
        <f>IF(ISNUMBER(SEARCH("IMS",PMS_Catalog[[#This Row],[WU Id]])),"IMS",PMS_Catalog[[#This Row],[UNIQUE PRICE per hour]]*PMS_Catalog[[#This Row],[PMS Effort (Hours)]])</f>
        <v>221.85</v>
      </c>
      <c r="P226" s="30">
        <v>3</v>
      </c>
      <c r="Q226" s="53" t="s">
        <v>88</v>
      </c>
      <c r="R226" s="1" t="s">
        <v>89</v>
      </c>
      <c r="S226" s="1"/>
      <c r="T226" s="31">
        <v>44768</v>
      </c>
      <c r="U226" s="1" t="s">
        <v>90</v>
      </c>
      <c r="V226" s="31">
        <v>44652</v>
      </c>
      <c r="W226" s="1">
        <f t="shared" ca="1" si="6"/>
        <v>4</v>
      </c>
      <c r="X226" s="1" cm="1">
        <f t="array" aca="1" ref="X226" ca="1">_xlfn.IFS(W225=1,8%,W225=2,10%,W225&gt;2,10%,W225&lt;1,0)</f>
        <v>0.1</v>
      </c>
      <c r="Y226" s="35">
        <f t="shared" ca="1" si="7"/>
        <v>199.66499999999999</v>
      </c>
      <c r="Z226" s="40"/>
      <c r="AA226" s="1" t="str">
        <f>LEFT(PMS_Catalog[[#This Row],[WU Id]],3)</f>
        <v>PMS</v>
      </c>
    </row>
    <row r="227" spans="1:27" ht="39" customHeight="1">
      <c r="A227" s="4" t="s">
        <v>909</v>
      </c>
      <c r="B227" s="4" t="s">
        <v>78</v>
      </c>
      <c r="C227" s="4" t="s">
        <v>92</v>
      </c>
      <c r="D227" s="4" t="s">
        <v>139</v>
      </c>
      <c r="E227" s="4" t="s">
        <v>139</v>
      </c>
      <c r="F227" s="11" t="s">
        <v>192</v>
      </c>
      <c r="G227" s="21" t="s">
        <v>910</v>
      </c>
      <c r="H227" s="21" t="s">
        <v>911</v>
      </c>
      <c r="I227" s="1" t="s">
        <v>876</v>
      </c>
      <c r="J227" s="1" t="s">
        <v>877</v>
      </c>
      <c r="K227" s="1" t="s">
        <v>912</v>
      </c>
      <c r="L227" s="1" t="s">
        <v>913</v>
      </c>
      <c r="M227" s="2">
        <v>21.75</v>
      </c>
      <c r="N227" s="30">
        <v>2</v>
      </c>
      <c r="O227" s="30">
        <f>IF(ISNUMBER(SEARCH("IMS",PMS_Catalog[[#This Row],[WU Id]])),"IMS",PMS_Catalog[[#This Row],[UNIQUE PRICE per hour]]*PMS_Catalog[[#This Row],[PMS Effort (Hours)]])</f>
        <v>43.5</v>
      </c>
      <c r="P227" s="30">
        <v>5</v>
      </c>
      <c r="Q227" s="53" t="s">
        <v>88</v>
      </c>
      <c r="R227" s="1" t="s">
        <v>89</v>
      </c>
      <c r="S227" s="1"/>
      <c r="T227" s="31">
        <v>45086</v>
      </c>
      <c r="U227" s="1" t="s">
        <v>278</v>
      </c>
      <c r="V227" s="31">
        <v>45086</v>
      </c>
      <c r="W227" s="1">
        <f t="shared" ca="1" si="6"/>
        <v>3</v>
      </c>
      <c r="X227" s="1" cm="1">
        <f t="array" aca="1" ref="X227" ca="1">_xlfn.IFS(W226=1,8%,W226=2,10%,W226&gt;2,10%,W226&lt;1,0)</f>
        <v>0.1</v>
      </c>
      <c r="Y227" s="35">
        <f t="shared" ca="1" si="7"/>
        <v>39.15</v>
      </c>
      <c r="Z227" s="40"/>
      <c r="AA227" s="1" t="str">
        <f>LEFT(PMS_Catalog[[#This Row],[WU Id]],3)</f>
        <v>PMS</v>
      </c>
    </row>
    <row r="228" spans="1:27" ht="39" customHeight="1">
      <c r="A228" s="4" t="s">
        <v>914</v>
      </c>
      <c r="B228" s="4" t="s">
        <v>78</v>
      </c>
      <c r="C228" s="4" t="s">
        <v>92</v>
      </c>
      <c r="D228" s="4" t="s">
        <v>139</v>
      </c>
      <c r="E228" s="4" t="s">
        <v>139</v>
      </c>
      <c r="F228" s="11" t="s">
        <v>192</v>
      </c>
      <c r="G228" s="21" t="s">
        <v>915</v>
      </c>
      <c r="H228" s="21" t="s">
        <v>916</v>
      </c>
      <c r="I228" s="1" t="s">
        <v>876</v>
      </c>
      <c r="J228" s="1" t="s">
        <v>877</v>
      </c>
      <c r="K228" s="1" t="s">
        <v>917</v>
      </c>
      <c r="L228" s="1" t="s">
        <v>518</v>
      </c>
      <c r="M228" s="2">
        <v>21.75</v>
      </c>
      <c r="N228" s="30">
        <v>2</v>
      </c>
      <c r="O228" s="30">
        <f>IF(ISNUMBER(SEARCH("IMS",PMS_Catalog[[#This Row],[WU Id]])),"IMS",PMS_Catalog[[#This Row],[UNIQUE PRICE per hour]]*PMS_Catalog[[#This Row],[PMS Effort (Hours)]])</f>
        <v>43.5</v>
      </c>
      <c r="P228" s="30">
        <v>5</v>
      </c>
      <c r="Q228" s="53" t="s">
        <v>88</v>
      </c>
      <c r="R228" s="1" t="s">
        <v>89</v>
      </c>
      <c r="S228" s="1"/>
      <c r="T228" s="31">
        <v>45086</v>
      </c>
      <c r="U228" s="1" t="s">
        <v>278</v>
      </c>
      <c r="V228" s="31">
        <v>45086</v>
      </c>
      <c r="W228" s="1">
        <f t="shared" ca="1" si="6"/>
        <v>3</v>
      </c>
      <c r="X228" s="1" cm="1">
        <f t="array" aca="1" ref="X228" ca="1">_xlfn.IFS(W227=1,8%,W227=2,10%,W227&gt;2,10%,W227&lt;1,0)</f>
        <v>0.1</v>
      </c>
      <c r="Y228" s="35">
        <f t="shared" ca="1" si="7"/>
        <v>39.15</v>
      </c>
      <c r="Z228" s="40"/>
      <c r="AA228" s="1" t="str">
        <f>LEFT(PMS_Catalog[[#This Row],[WU Id]],3)</f>
        <v>PMS</v>
      </c>
    </row>
    <row r="229" spans="1:27" ht="39" customHeight="1">
      <c r="A229" s="1" t="s">
        <v>918</v>
      </c>
      <c r="B229" s="1" t="s">
        <v>78</v>
      </c>
      <c r="C229" s="1" t="s">
        <v>92</v>
      </c>
      <c r="D229" s="1" t="s">
        <v>139</v>
      </c>
      <c r="E229" s="1" t="s">
        <v>139</v>
      </c>
      <c r="F229" s="11" t="s">
        <v>192</v>
      </c>
      <c r="G229" s="21" t="s">
        <v>919</v>
      </c>
      <c r="H229" s="21" t="s">
        <v>920</v>
      </c>
      <c r="I229" s="4" t="s">
        <v>876</v>
      </c>
      <c r="J229" s="4" t="s">
        <v>877</v>
      </c>
      <c r="K229" s="4" t="s">
        <v>921</v>
      </c>
      <c r="L229" s="4" t="s">
        <v>518</v>
      </c>
      <c r="M229" s="21">
        <v>21.75</v>
      </c>
      <c r="N229" s="30">
        <v>2</v>
      </c>
      <c r="O229" s="30">
        <f>IF(ISNUMBER(SEARCH("IMS",PMS_Catalog[[#This Row],[WU Id]])),"IMS",PMS_Catalog[[#This Row],[UNIQUE PRICE per hour]]*PMS_Catalog[[#This Row],[PMS Effort (Hours)]])</f>
        <v>43.5</v>
      </c>
      <c r="P229" s="30">
        <v>5</v>
      </c>
      <c r="Q229" s="53" t="s">
        <v>88</v>
      </c>
      <c r="R229" s="1" t="s">
        <v>89</v>
      </c>
      <c r="S229" s="1"/>
      <c r="T229" s="31">
        <v>45086</v>
      </c>
      <c r="U229" s="1" t="s">
        <v>278</v>
      </c>
      <c r="V229" s="31">
        <v>45086</v>
      </c>
      <c r="W229" s="1">
        <f t="shared" ca="1" si="6"/>
        <v>3</v>
      </c>
      <c r="X229" s="1" cm="1">
        <f t="array" aca="1" ref="X229" ca="1">_xlfn.IFS(W228=1,8%,W228=2,10%,W228&gt;2,10%,W228&lt;1,0)</f>
        <v>0.1</v>
      </c>
      <c r="Y229" s="35">
        <f t="shared" ca="1" si="7"/>
        <v>39.15</v>
      </c>
      <c r="Z229" s="40"/>
      <c r="AA229" s="1" t="str">
        <f>LEFT(PMS_Catalog[[#This Row],[WU Id]],3)</f>
        <v>PMS</v>
      </c>
    </row>
    <row r="230" spans="1:27" ht="39" customHeight="1">
      <c r="A230" s="4" t="s">
        <v>922</v>
      </c>
      <c r="B230" s="4" t="s">
        <v>78</v>
      </c>
      <c r="C230" s="4" t="s">
        <v>901</v>
      </c>
      <c r="D230" s="4" t="s">
        <v>139</v>
      </c>
      <c r="E230" s="4" t="s">
        <v>923</v>
      </c>
      <c r="F230" s="11" t="s">
        <v>192</v>
      </c>
      <c r="G230" s="21" t="s">
        <v>924</v>
      </c>
      <c r="H230" s="21" t="s">
        <v>925</v>
      </c>
      <c r="I230" s="4" t="s">
        <v>926</v>
      </c>
      <c r="J230" s="4" t="s">
        <v>927</v>
      </c>
      <c r="K230" s="4" t="s">
        <v>928</v>
      </c>
      <c r="L230" s="4" t="s">
        <v>518</v>
      </c>
      <c r="M230" s="21">
        <v>21.75</v>
      </c>
      <c r="N230" s="30">
        <v>2</v>
      </c>
      <c r="O230" s="30">
        <f>IF(ISNUMBER(SEARCH("IMS",PMS_Catalog[[#This Row],[WU Id]])),"IMS",PMS_Catalog[[#This Row],[UNIQUE PRICE per hour]]*PMS_Catalog[[#This Row],[PMS Effort (Hours)]])</f>
        <v>43.5</v>
      </c>
      <c r="P230" s="30">
        <v>15</v>
      </c>
      <c r="Q230" s="53" t="s">
        <v>88</v>
      </c>
      <c r="R230" s="1" t="s">
        <v>89</v>
      </c>
      <c r="S230" s="1"/>
      <c r="T230" s="31">
        <v>45086</v>
      </c>
      <c r="U230" s="1" t="s">
        <v>278</v>
      </c>
      <c r="V230" s="31">
        <v>45086</v>
      </c>
      <c r="W230" s="1">
        <f t="shared" ca="1" si="6"/>
        <v>3</v>
      </c>
      <c r="X230" s="1" cm="1">
        <f t="array" aca="1" ref="X230" ca="1">_xlfn.IFS(W229=1,8%,W229=2,10%,W229&gt;2,10%,W229&lt;1,0)</f>
        <v>0.1</v>
      </c>
      <c r="Y230" s="35">
        <f t="shared" ca="1" si="7"/>
        <v>39.15</v>
      </c>
      <c r="Z230" s="40"/>
      <c r="AA230" s="1" t="str">
        <f>LEFT(PMS_Catalog[[#This Row],[WU Id]],3)</f>
        <v>PMS</v>
      </c>
    </row>
    <row r="231" spans="1:27" ht="39" customHeight="1">
      <c r="A231" s="4" t="s">
        <v>929</v>
      </c>
      <c r="B231" s="4" t="s">
        <v>78</v>
      </c>
      <c r="C231" s="4" t="s">
        <v>901</v>
      </c>
      <c r="D231" s="4" t="s">
        <v>139</v>
      </c>
      <c r="E231" s="4" t="s">
        <v>930</v>
      </c>
      <c r="F231" s="11" t="s">
        <v>192</v>
      </c>
      <c r="G231" s="21" t="s">
        <v>931</v>
      </c>
      <c r="H231" s="21" t="s">
        <v>932</v>
      </c>
      <c r="I231" s="1" t="s">
        <v>926</v>
      </c>
      <c r="J231" s="1" t="s">
        <v>927</v>
      </c>
      <c r="K231" s="1" t="s">
        <v>933</v>
      </c>
      <c r="L231" s="1" t="s">
        <v>518</v>
      </c>
      <c r="M231" s="2">
        <v>21.75</v>
      </c>
      <c r="N231" s="30">
        <v>2</v>
      </c>
      <c r="O231" s="30">
        <f>IF(ISNUMBER(SEARCH("IMS",PMS_Catalog[[#This Row],[WU Id]])),"IMS",PMS_Catalog[[#This Row],[UNIQUE PRICE per hour]]*PMS_Catalog[[#This Row],[PMS Effort (Hours)]])</f>
        <v>43.5</v>
      </c>
      <c r="P231" s="30">
        <v>15</v>
      </c>
      <c r="Q231" s="53" t="s">
        <v>88</v>
      </c>
      <c r="R231" s="1" t="s">
        <v>89</v>
      </c>
      <c r="S231" s="1"/>
      <c r="T231" s="31">
        <v>45086</v>
      </c>
      <c r="U231" s="1" t="s">
        <v>278</v>
      </c>
      <c r="V231" s="31">
        <v>45086</v>
      </c>
      <c r="W231" s="1">
        <f t="shared" ca="1" si="6"/>
        <v>3</v>
      </c>
      <c r="X231" s="1" cm="1">
        <f t="array" aca="1" ref="X231" ca="1">_xlfn.IFS(W230=1,8%,W230=2,10%,W230&gt;2,10%,W230&lt;1,0)</f>
        <v>0.1</v>
      </c>
      <c r="Y231" s="35">
        <f t="shared" ca="1" si="7"/>
        <v>39.15</v>
      </c>
      <c r="Z231" s="40"/>
      <c r="AA231" s="1" t="str">
        <f>LEFT(PMS_Catalog[[#This Row],[WU Id]],3)</f>
        <v>PMS</v>
      </c>
    </row>
    <row r="232" spans="1:27" ht="39" customHeight="1">
      <c r="A232" s="1" t="s">
        <v>934</v>
      </c>
      <c r="B232" s="1" t="s">
        <v>78</v>
      </c>
      <c r="C232" s="4" t="s">
        <v>901</v>
      </c>
      <c r="D232" s="1" t="s">
        <v>139</v>
      </c>
      <c r="E232" s="1" t="s">
        <v>935</v>
      </c>
      <c r="F232" s="11" t="s">
        <v>192</v>
      </c>
      <c r="G232" s="21" t="s">
        <v>936</v>
      </c>
      <c r="H232" s="21" t="s">
        <v>937</v>
      </c>
      <c r="I232" s="1" t="s">
        <v>926</v>
      </c>
      <c r="J232" s="1" t="s">
        <v>927</v>
      </c>
      <c r="K232" s="1" t="s">
        <v>938</v>
      </c>
      <c r="L232" s="1" t="s">
        <v>518</v>
      </c>
      <c r="M232" s="2">
        <v>21.75</v>
      </c>
      <c r="N232" s="30">
        <v>2</v>
      </c>
      <c r="O232" s="30">
        <f>IF(ISNUMBER(SEARCH("IMS",PMS_Catalog[[#This Row],[WU Id]])),"IMS",PMS_Catalog[[#This Row],[UNIQUE PRICE per hour]]*PMS_Catalog[[#This Row],[PMS Effort (Hours)]])</f>
        <v>43.5</v>
      </c>
      <c r="P232" s="30">
        <v>15</v>
      </c>
      <c r="Q232" s="53" t="s">
        <v>88</v>
      </c>
      <c r="R232" s="1" t="s">
        <v>89</v>
      </c>
      <c r="S232" s="1"/>
      <c r="T232" s="31">
        <v>45086</v>
      </c>
      <c r="U232" s="1" t="s">
        <v>278</v>
      </c>
      <c r="V232" s="31">
        <v>45086</v>
      </c>
      <c r="W232" s="1">
        <f t="shared" ca="1" si="6"/>
        <v>3</v>
      </c>
      <c r="X232" s="1" cm="1">
        <f t="array" aca="1" ref="X232" ca="1">_xlfn.IFS(W231=1,8%,W231=2,10%,W231&gt;2,10%,W231&lt;1,0)</f>
        <v>0.1</v>
      </c>
      <c r="Y232" s="35">
        <f t="shared" ca="1" si="7"/>
        <v>39.15</v>
      </c>
      <c r="Z232" s="40"/>
      <c r="AA232" s="1" t="str">
        <f>LEFT(PMS_Catalog[[#This Row],[WU Id]],3)</f>
        <v>PMS</v>
      </c>
    </row>
    <row r="233" spans="1:27" ht="39" customHeight="1">
      <c r="A233" s="4" t="s">
        <v>939</v>
      </c>
      <c r="B233" s="4" t="s">
        <v>78</v>
      </c>
      <c r="C233" s="4" t="s">
        <v>940</v>
      </c>
      <c r="D233" s="4" t="s">
        <v>170</v>
      </c>
      <c r="E233" s="4" t="s">
        <v>642</v>
      </c>
      <c r="F233" s="12" t="s">
        <v>192</v>
      </c>
      <c r="G233" s="21" t="s">
        <v>941</v>
      </c>
      <c r="H233" s="21" t="s">
        <v>942</v>
      </c>
      <c r="I233" s="4" t="s">
        <v>943</v>
      </c>
      <c r="J233" s="4" t="s">
        <v>944</v>
      </c>
      <c r="K233" s="4" t="s">
        <v>945</v>
      </c>
      <c r="L233" s="4" t="s">
        <v>652</v>
      </c>
      <c r="M233" s="21">
        <v>21.75</v>
      </c>
      <c r="N233" s="30">
        <v>2.7</v>
      </c>
      <c r="O233" s="30">
        <f>IF(ISNUMBER(SEARCH("IMS",PMS_Catalog[[#This Row],[WU Id]])),"IMS",PMS_Catalog[[#This Row],[UNIQUE PRICE per hour]]*PMS_Catalog[[#This Row],[PMS Effort (Hours)]])</f>
        <v>58.725000000000001</v>
      </c>
      <c r="P233" s="30">
        <v>2</v>
      </c>
      <c r="Q233" s="53" t="s">
        <v>88</v>
      </c>
      <c r="R233" s="1" t="s">
        <v>89</v>
      </c>
      <c r="S233" s="1"/>
      <c r="T233" s="31">
        <v>44768</v>
      </c>
      <c r="U233" s="1" t="s">
        <v>90</v>
      </c>
      <c r="V233" s="31">
        <v>44652</v>
      </c>
      <c r="W233" s="1">
        <f t="shared" ca="1" si="6"/>
        <v>4</v>
      </c>
      <c r="X233" s="1" cm="1">
        <f t="array" aca="1" ref="X233" ca="1">_xlfn.IFS(W232=1,8%,W232=2,10%,W232&gt;2,10%,W232&lt;1,0)</f>
        <v>0.1</v>
      </c>
      <c r="Y233" s="35">
        <f t="shared" ca="1" si="7"/>
        <v>52.852499999999999</v>
      </c>
      <c r="Z233" s="40"/>
      <c r="AA233" s="1" t="str">
        <f>LEFT(PMS_Catalog[[#This Row],[WU Id]],3)</f>
        <v>PMS</v>
      </c>
    </row>
    <row r="234" spans="1:27" ht="39" customHeight="1">
      <c r="A234" s="4" t="s">
        <v>946</v>
      </c>
      <c r="B234" s="4" t="s">
        <v>78</v>
      </c>
      <c r="C234" s="4" t="s">
        <v>947</v>
      </c>
      <c r="D234" s="4" t="s">
        <v>170</v>
      </c>
      <c r="E234" s="4" t="s">
        <v>642</v>
      </c>
      <c r="F234" s="12" t="s">
        <v>192</v>
      </c>
      <c r="G234" s="21" t="s">
        <v>941</v>
      </c>
      <c r="H234" s="21" t="s">
        <v>948</v>
      </c>
      <c r="I234" s="4" t="s">
        <v>949</v>
      </c>
      <c r="J234" s="4" t="s">
        <v>950</v>
      </c>
      <c r="K234" s="4" t="s">
        <v>951</v>
      </c>
      <c r="L234" s="4" t="s">
        <v>652</v>
      </c>
      <c r="M234" s="21">
        <v>21.75</v>
      </c>
      <c r="N234" s="30">
        <v>2.7</v>
      </c>
      <c r="O234" s="30">
        <f>IF(ISNUMBER(SEARCH("IMS",PMS_Catalog[[#This Row],[WU Id]])),"IMS",PMS_Catalog[[#This Row],[UNIQUE PRICE per hour]]*PMS_Catalog[[#This Row],[PMS Effort (Hours)]])</f>
        <v>58.725000000000001</v>
      </c>
      <c r="P234" s="30">
        <v>2</v>
      </c>
      <c r="Q234" s="53" t="s">
        <v>88</v>
      </c>
      <c r="R234" s="1" t="s">
        <v>89</v>
      </c>
      <c r="S234" s="1"/>
      <c r="T234" s="31">
        <v>44768</v>
      </c>
      <c r="U234" s="1" t="s">
        <v>90</v>
      </c>
      <c r="V234" s="31">
        <v>44652</v>
      </c>
      <c r="W234" s="1">
        <f t="shared" ca="1" si="6"/>
        <v>4</v>
      </c>
      <c r="X234" s="1" cm="1">
        <f t="array" aca="1" ref="X234" ca="1">_xlfn.IFS(W233=1,8%,W233=2,10%,W233&gt;2,10%,W233&lt;1,0)</f>
        <v>0.1</v>
      </c>
      <c r="Y234" s="35">
        <f t="shared" ca="1" si="7"/>
        <v>52.852499999999999</v>
      </c>
      <c r="Z234" s="40"/>
      <c r="AA234" s="1" t="str">
        <f>LEFT(PMS_Catalog[[#This Row],[WU Id]],3)</f>
        <v>PMS</v>
      </c>
    </row>
    <row r="235" spans="1:27" ht="39" customHeight="1">
      <c r="A235" s="1" t="s">
        <v>952</v>
      </c>
      <c r="B235" s="1" t="s">
        <v>78</v>
      </c>
      <c r="C235" s="1" t="s">
        <v>131</v>
      </c>
      <c r="D235" s="1" t="s">
        <v>170</v>
      </c>
      <c r="E235" s="1" t="s">
        <v>953</v>
      </c>
      <c r="F235" s="12" t="s">
        <v>192</v>
      </c>
      <c r="G235" s="21" t="s">
        <v>954</v>
      </c>
      <c r="H235" s="21" t="s">
        <v>955</v>
      </c>
      <c r="I235" s="1" t="s">
        <v>89</v>
      </c>
      <c r="J235" s="1" t="s">
        <v>89</v>
      </c>
      <c r="K235" s="1" t="s">
        <v>956</v>
      </c>
      <c r="L235" s="1" t="s">
        <v>259</v>
      </c>
      <c r="M235" s="2">
        <v>21.75</v>
      </c>
      <c r="N235" s="30">
        <v>0.9</v>
      </c>
      <c r="O235" s="30">
        <f>IF(ISNUMBER(SEARCH("IMS",PMS_Catalog[[#This Row],[WU Id]])),"IMS",PMS_Catalog[[#This Row],[UNIQUE PRICE per hour]]*PMS_Catalog[[#This Row],[PMS Effort (Hours)]])</f>
        <v>19.574999999999999</v>
      </c>
      <c r="P235" s="30">
        <v>7</v>
      </c>
      <c r="Q235" s="53" t="s">
        <v>88</v>
      </c>
      <c r="R235" s="1" t="s">
        <v>89</v>
      </c>
      <c r="S235" s="1" t="s">
        <v>957</v>
      </c>
      <c r="T235" s="31">
        <v>44768</v>
      </c>
      <c r="U235" s="1" t="s">
        <v>90</v>
      </c>
      <c r="V235" s="31">
        <v>44652</v>
      </c>
      <c r="W235" s="1">
        <f t="shared" ca="1" si="6"/>
        <v>4</v>
      </c>
      <c r="X235" s="1" cm="1">
        <f t="array" aca="1" ref="X235" ca="1">_xlfn.IFS(W234=1,8%,W234=2,10%,W234&gt;2,10%,W234&lt;1,0)</f>
        <v>0.1</v>
      </c>
      <c r="Y235" s="35">
        <f t="shared" ca="1" si="7"/>
        <v>17.6175</v>
      </c>
      <c r="Z235" s="40"/>
      <c r="AA235" s="1" t="str">
        <f>LEFT(PMS_Catalog[[#This Row],[WU Id]],3)</f>
        <v>PMS</v>
      </c>
    </row>
    <row r="236" spans="1:27" ht="39" customHeight="1">
      <c r="A236" s="4" t="s">
        <v>958</v>
      </c>
      <c r="B236" s="4" t="s">
        <v>78</v>
      </c>
      <c r="C236" s="4" t="s">
        <v>131</v>
      </c>
      <c r="D236" s="4" t="s">
        <v>170</v>
      </c>
      <c r="E236" s="4" t="s">
        <v>959</v>
      </c>
      <c r="F236" s="12" t="s">
        <v>192</v>
      </c>
      <c r="G236" s="21" t="s">
        <v>960</v>
      </c>
      <c r="H236" s="21" t="s">
        <v>961</v>
      </c>
      <c r="I236" s="1" t="s">
        <v>89</v>
      </c>
      <c r="J236" s="1" t="s">
        <v>89</v>
      </c>
      <c r="K236" s="1" t="s">
        <v>962</v>
      </c>
      <c r="L236" s="1" t="s">
        <v>259</v>
      </c>
      <c r="M236" s="2">
        <v>21.75</v>
      </c>
      <c r="N236" s="30">
        <v>0.9</v>
      </c>
      <c r="O236" s="30">
        <f>IF(ISNUMBER(SEARCH("IMS",PMS_Catalog[[#This Row],[WU Id]])),"IMS",PMS_Catalog[[#This Row],[UNIQUE PRICE per hour]]*PMS_Catalog[[#This Row],[PMS Effort (Hours)]])</f>
        <v>19.574999999999999</v>
      </c>
      <c r="P236" s="30">
        <v>7</v>
      </c>
      <c r="Q236" s="53" t="s">
        <v>88</v>
      </c>
      <c r="R236" s="1" t="s">
        <v>89</v>
      </c>
      <c r="S236" s="1" t="s">
        <v>957</v>
      </c>
      <c r="T236" s="31">
        <v>44768</v>
      </c>
      <c r="U236" s="1" t="s">
        <v>90</v>
      </c>
      <c r="V236" s="31">
        <v>44652</v>
      </c>
      <c r="W236" s="1">
        <f t="shared" ca="1" si="6"/>
        <v>4</v>
      </c>
      <c r="X236" s="1" cm="1">
        <f t="array" aca="1" ref="X236" ca="1">_xlfn.IFS(W235=1,8%,W235=2,10%,W235&gt;2,10%,W235&lt;1,0)</f>
        <v>0.1</v>
      </c>
      <c r="Y236" s="35">
        <f t="shared" ca="1" si="7"/>
        <v>17.6175</v>
      </c>
      <c r="Z236" s="40"/>
      <c r="AA236" s="1" t="str">
        <f>LEFT(PMS_Catalog[[#This Row],[WU Id]],3)</f>
        <v>PMS</v>
      </c>
    </row>
    <row r="237" spans="1:27" ht="39" customHeight="1">
      <c r="A237" s="4" t="s">
        <v>963</v>
      </c>
      <c r="B237" s="4" t="s">
        <v>78</v>
      </c>
      <c r="C237" s="4" t="s">
        <v>947</v>
      </c>
      <c r="D237" s="4" t="s">
        <v>269</v>
      </c>
      <c r="E237" s="4" t="s">
        <v>406</v>
      </c>
      <c r="F237" s="12" t="s">
        <v>192</v>
      </c>
      <c r="G237" s="21" t="s">
        <v>941</v>
      </c>
      <c r="H237" s="21" t="s">
        <v>964</v>
      </c>
      <c r="I237" s="4" t="s">
        <v>949</v>
      </c>
      <c r="J237" s="74" t="s">
        <v>950</v>
      </c>
      <c r="K237" s="4" t="s">
        <v>951</v>
      </c>
      <c r="L237" s="4" t="s">
        <v>652</v>
      </c>
      <c r="M237" s="21">
        <v>21.75</v>
      </c>
      <c r="N237" s="30">
        <v>4</v>
      </c>
      <c r="O237" s="30">
        <f>IF(ISNUMBER(SEARCH("IMS",PMS_Catalog[[#This Row],[WU Id]])),"IMS",PMS_Catalog[[#This Row],[UNIQUE PRICE per hour]]*PMS_Catalog[[#This Row],[PMS Effort (Hours)]])</f>
        <v>87</v>
      </c>
      <c r="P237" s="30">
        <v>5</v>
      </c>
      <c r="Q237" s="53" t="s">
        <v>88</v>
      </c>
      <c r="R237" s="1" t="s">
        <v>89</v>
      </c>
      <c r="S237" s="1"/>
      <c r="T237" s="31">
        <v>44768</v>
      </c>
      <c r="U237" s="1" t="s">
        <v>90</v>
      </c>
      <c r="V237" s="31">
        <v>44652</v>
      </c>
      <c r="W237" s="1">
        <f t="shared" ca="1" si="6"/>
        <v>4</v>
      </c>
      <c r="X237" s="1" cm="1">
        <f t="array" aca="1" ref="X237" ca="1">_xlfn.IFS(W236=1,8%,W236=2,10%,W236&gt;2,10%,W236&lt;1,0)</f>
        <v>0.1</v>
      </c>
      <c r="Y237" s="35">
        <f t="shared" ca="1" si="7"/>
        <v>78.3</v>
      </c>
      <c r="Z237" s="40"/>
      <c r="AA237" s="1" t="str">
        <f>LEFT(PMS_Catalog[[#This Row],[WU Id]],3)</f>
        <v>PMS</v>
      </c>
    </row>
    <row r="238" spans="1:27" ht="39" customHeight="1">
      <c r="A238" s="1" t="s">
        <v>965</v>
      </c>
      <c r="B238" s="1" t="s">
        <v>78</v>
      </c>
      <c r="C238" s="1" t="s">
        <v>131</v>
      </c>
      <c r="D238" s="1" t="s">
        <v>269</v>
      </c>
      <c r="E238" s="1" t="s">
        <v>776</v>
      </c>
      <c r="F238" s="12" t="s">
        <v>192</v>
      </c>
      <c r="G238" s="21" t="s">
        <v>966</v>
      </c>
      <c r="H238" s="21" t="s">
        <v>272</v>
      </c>
      <c r="I238" s="4" t="s">
        <v>256</v>
      </c>
      <c r="J238" s="4" t="s">
        <v>257</v>
      </c>
      <c r="K238" s="4" t="s">
        <v>273</v>
      </c>
      <c r="L238" s="4" t="s">
        <v>259</v>
      </c>
      <c r="M238" s="21">
        <v>21.75</v>
      </c>
      <c r="N238" s="30">
        <v>1.8</v>
      </c>
      <c r="O238" s="30">
        <f>IF(ISNUMBER(SEARCH("IMS",PMS_Catalog[[#This Row],[WU Id]])),"IMS",PMS_Catalog[[#This Row],[UNIQUE PRICE per hour]]*PMS_Catalog[[#This Row],[PMS Effort (Hours)]])</f>
        <v>39.15</v>
      </c>
      <c r="P238" s="30">
        <v>7</v>
      </c>
      <c r="Q238" s="53" t="s">
        <v>88</v>
      </c>
      <c r="R238" s="1" t="s">
        <v>89</v>
      </c>
      <c r="S238" s="1"/>
      <c r="T238" s="31">
        <v>44768</v>
      </c>
      <c r="U238" s="1" t="s">
        <v>90</v>
      </c>
      <c r="V238" s="31">
        <v>44652</v>
      </c>
      <c r="W238" s="1">
        <f t="shared" ca="1" si="6"/>
        <v>4</v>
      </c>
      <c r="X238" s="1" cm="1">
        <f t="array" aca="1" ref="X238" ca="1">_xlfn.IFS(W237=1,8%,W237=2,10%,W237&gt;2,10%,W237&lt;1,0)</f>
        <v>0.1</v>
      </c>
      <c r="Y238" s="35">
        <f t="shared" ca="1" si="7"/>
        <v>35.234999999999999</v>
      </c>
      <c r="Z238" s="40"/>
      <c r="AA238" s="1" t="str">
        <f>LEFT(PMS_Catalog[[#This Row],[WU Id]],3)</f>
        <v>PMS</v>
      </c>
    </row>
    <row r="239" spans="1:27" ht="39" customHeight="1">
      <c r="A239" s="4" t="s">
        <v>967</v>
      </c>
      <c r="B239" s="4" t="s">
        <v>78</v>
      </c>
      <c r="C239" s="4" t="s">
        <v>131</v>
      </c>
      <c r="D239" s="4" t="s">
        <v>269</v>
      </c>
      <c r="E239" s="4" t="s">
        <v>968</v>
      </c>
      <c r="F239" s="12" t="s">
        <v>192</v>
      </c>
      <c r="G239" s="21" t="s">
        <v>969</v>
      </c>
      <c r="H239" s="21" t="s">
        <v>970</v>
      </c>
      <c r="I239" s="1" t="s">
        <v>256</v>
      </c>
      <c r="J239" s="1" t="s">
        <v>257</v>
      </c>
      <c r="K239" s="1" t="s">
        <v>971</v>
      </c>
      <c r="L239" s="1" t="s">
        <v>259</v>
      </c>
      <c r="M239" s="2">
        <v>21.75</v>
      </c>
      <c r="N239" s="30">
        <v>0.9</v>
      </c>
      <c r="O239" s="30">
        <f>IF(ISNUMBER(SEARCH("IMS",PMS_Catalog[[#This Row],[WU Id]])),"IMS",PMS_Catalog[[#This Row],[UNIQUE PRICE per hour]]*PMS_Catalog[[#This Row],[PMS Effort (Hours)]])</f>
        <v>19.574999999999999</v>
      </c>
      <c r="P239" s="30">
        <v>7</v>
      </c>
      <c r="Q239" s="53" t="s">
        <v>88</v>
      </c>
      <c r="R239" s="1" t="s">
        <v>89</v>
      </c>
      <c r="S239" s="1"/>
      <c r="T239" s="31">
        <v>44768</v>
      </c>
      <c r="U239" s="1" t="s">
        <v>90</v>
      </c>
      <c r="V239" s="31">
        <v>44652</v>
      </c>
      <c r="W239" s="1">
        <f t="shared" ca="1" si="6"/>
        <v>4</v>
      </c>
      <c r="X239" s="1" cm="1">
        <f t="array" aca="1" ref="X239" ca="1">_xlfn.IFS(W238=1,8%,W238=2,10%,W238&gt;2,10%,W238&lt;1,0)</f>
        <v>0.1</v>
      </c>
      <c r="Y239" s="35">
        <f t="shared" ca="1" si="7"/>
        <v>17.6175</v>
      </c>
      <c r="Z239" s="40"/>
      <c r="AA239" s="1" t="str">
        <f>LEFT(PMS_Catalog[[#This Row],[WU Id]],3)</f>
        <v>PMS</v>
      </c>
    </row>
    <row r="240" spans="1:27" ht="39" customHeight="1">
      <c r="A240" s="4" t="s">
        <v>972</v>
      </c>
      <c r="B240" s="4" t="s">
        <v>78</v>
      </c>
      <c r="C240" s="4" t="s">
        <v>940</v>
      </c>
      <c r="D240" s="4" t="s">
        <v>690</v>
      </c>
      <c r="E240" s="4" t="s">
        <v>691</v>
      </c>
      <c r="F240" s="12" t="s">
        <v>192</v>
      </c>
      <c r="G240" s="21" t="s">
        <v>973</v>
      </c>
      <c r="H240" s="21" t="s">
        <v>272</v>
      </c>
      <c r="I240" s="1" t="s">
        <v>943</v>
      </c>
      <c r="J240" s="1" t="s">
        <v>944</v>
      </c>
      <c r="K240" s="1" t="s">
        <v>945</v>
      </c>
      <c r="L240" s="1" t="s">
        <v>652</v>
      </c>
      <c r="M240" s="2">
        <v>21.75</v>
      </c>
      <c r="N240" s="30">
        <v>2.7</v>
      </c>
      <c r="O240" s="30">
        <f>IF(ISNUMBER(SEARCH("IMS",PMS_Catalog[[#This Row],[WU Id]])),"IMS",PMS_Catalog[[#This Row],[UNIQUE PRICE per hour]]*PMS_Catalog[[#This Row],[PMS Effort (Hours)]])</f>
        <v>58.725000000000001</v>
      </c>
      <c r="P240" s="30">
        <v>2</v>
      </c>
      <c r="Q240" s="53" t="s">
        <v>88</v>
      </c>
      <c r="R240" s="1" t="s">
        <v>89</v>
      </c>
      <c r="S240" s="1"/>
      <c r="T240" s="31">
        <v>44768</v>
      </c>
      <c r="U240" s="1" t="s">
        <v>90</v>
      </c>
      <c r="V240" s="31">
        <v>44652</v>
      </c>
      <c r="W240" s="1">
        <f t="shared" ca="1" si="6"/>
        <v>4</v>
      </c>
      <c r="X240" s="1" cm="1">
        <f t="array" aca="1" ref="X240" ca="1">_xlfn.IFS(W239=1,8%,W239=2,10%,W239&gt;2,10%,W239&lt;1,0)</f>
        <v>0.1</v>
      </c>
      <c r="Y240" s="35">
        <f t="shared" ca="1" si="7"/>
        <v>52.852499999999999</v>
      </c>
      <c r="Z240" s="40"/>
      <c r="AA240" s="1" t="str">
        <f>LEFT(PMS_Catalog[[#This Row],[WU Id]],3)</f>
        <v>PMS</v>
      </c>
    </row>
    <row r="241" spans="1:27" ht="39" customHeight="1">
      <c r="A241" s="1" t="s">
        <v>974</v>
      </c>
      <c r="B241" s="1" t="s">
        <v>78</v>
      </c>
      <c r="C241" s="1" t="s">
        <v>131</v>
      </c>
      <c r="D241" s="1" t="s">
        <v>312</v>
      </c>
      <c r="E241" s="1" t="s">
        <v>975</v>
      </c>
      <c r="F241" s="11" t="s">
        <v>192</v>
      </c>
      <c r="G241" s="21" t="s">
        <v>290</v>
      </c>
      <c r="H241" s="21" t="s">
        <v>291</v>
      </c>
      <c r="I241" s="4" t="s">
        <v>309</v>
      </c>
      <c r="J241" s="4" t="s">
        <v>310</v>
      </c>
      <c r="K241" s="4" t="s">
        <v>89</v>
      </c>
      <c r="L241" s="4" t="s">
        <v>277</v>
      </c>
      <c r="M241" s="21">
        <v>21.75</v>
      </c>
      <c r="N241" s="30">
        <v>22.099999999999998</v>
      </c>
      <c r="O241" s="30">
        <f>IF(ISNUMBER(SEARCH("IMS",PMS_Catalog[[#This Row],[WU Id]])),"IMS",PMS_Catalog[[#This Row],[UNIQUE PRICE per hour]]*PMS_Catalog[[#This Row],[PMS Effort (Hours)]])</f>
        <v>480.67499999999995</v>
      </c>
      <c r="P241" s="30">
        <v>15</v>
      </c>
      <c r="Q241" s="53" t="s">
        <v>88</v>
      </c>
      <c r="R241" s="1" t="s">
        <v>89</v>
      </c>
      <c r="S241" s="1"/>
      <c r="T241" s="31">
        <v>44768</v>
      </c>
      <c r="U241" s="1" t="s">
        <v>90</v>
      </c>
      <c r="V241" s="31">
        <v>44652</v>
      </c>
      <c r="W241" s="1">
        <f t="shared" ca="1" si="6"/>
        <v>4</v>
      </c>
      <c r="X241" s="1" cm="1">
        <f t="array" aca="1" ref="X241" ca="1">_xlfn.IFS(W240=1,8%,W240=2,10%,W240&gt;2,10%,W240&lt;1,0)</f>
        <v>0.1</v>
      </c>
      <c r="Y241" s="35">
        <f t="shared" ca="1" si="7"/>
        <v>432.60749999999996</v>
      </c>
      <c r="Z241" s="40"/>
      <c r="AA241" s="1" t="str">
        <f>LEFT(PMS_Catalog[[#This Row],[WU Id]],3)</f>
        <v>PMS</v>
      </c>
    </row>
    <row r="242" spans="1:27" ht="39" customHeight="1">
      <c r="A242" s="4" t="s">
        <v>976</v>
      </c>
      <c r="B242" s="4" t="s">
        <v>78</v>
      </c>
      <c r="C242" s="4" t="s">
        <v>92</v>
      </c>
      <c r="D242" s="4" t="s">
        <v>438</v>
      </c>
      <c r="E242" s="4" t="s">
        <v>439</v>
      </c>
      <c r="F242" s="11" t="s">
        <v>192</v>
      </c>
      <c r="G242" s="21" t="s">
        <v>977</v>
      </c>
      <c r="H242" s="21" t="s">
        <v>978</v>
      </c>
      <c r="I242" s="4" t="s">
        <v>446</v>
      </c>
      <c r="J242" s="4" t="s">
        <v>979</v>
      </c>
      <c r="K242" s="4" t="s">
        <v>980</v>
      </c>
      <c r="L242" s="4" t="s">
        <v>87</v>
      </c>
      <c r="M242" s="21">
        <v>21.75</v>
      </c>
      <c r="N242" s="30">
        <v>4</v>
      </c>
      <c r="O242" s="30">
        <f>IF(ISNUMBER(SEARCH("IMS",PMS_Catalog[[#This Row],[WU Id]])),"IMS",PMS_Catalog[[#This Row],[UNIQUE PRICE per hour]]*PMS_Catalog[[#This Row],[PMS Effort (Hours)]])</f>
        <v>87</v>
      </c>
      <c r="P242" s="30">
        <v>10</v>
      </c>
      <c r="Q242" s="53" t="s">
        <v>88</v>
      </c>
      <c r="R242" s="1" t="s">
        <v>89</v>
      </c>
      <c r="S242" s="1"/>
      <c r="T242" s="31">
        <v>44768</v>
      </c>
      <c r="U242" s="1" t="s">
        <v>90</v>
      </c>
      <c r="V242" s="31">
        <v>44652</v>
      </c>
      <c r="W242" s="1">
        <f t="shared" ca="1" si="6"/>
        <v>4</v>
      </c>
      <c r="X242" s="1" cm="1">
        <f t="array" aca="1" ref="X242" ca="1">_xlfn.IFS(W241=1,8%,W241=2,10%,W241&gt;2,10%,W241&lt;1,0)</f>
        <v>0.1</v>
      </c>
      <c r="Y242" s="35">
        <f t="shared" ca="1" si="7"/>
        <v>78.3</v>
      </c>
      <c r="Z242" s="40"/>
      <c r="AA242" s="1" t="str">
        <f>LEFT(PMS_Catalog[[#This Row],[WU Id]],3)</f>
        <v>PMS</v>
      </c>
    </row>
    <row r="243" spans="1:27" ht="39" customHeight="1">
      <c r="A243" s="4" t="s">
        <v>981</v>
      </c>
      <c r="B243" s="4" t="s">
        <v>78</v>
      </c>
      <c r="C243" s="4" t="s">
        <v>92</v>
      </c>
      <c r="D243" s="4" t="s">
        <v>982</v>
      </c>
      <c r="E243" s="4" t="s">
        <v>406</v>
      </c>
      <c r="F243" s="11" t="s">
        <v>192</v>
      </c>
      <c r="G243" s="21" t="s">
        <v>983</v>
      </c>
      <c r="H243" s="21" t="s">
        <v>984</v>
      </c>
      <c r="I243" s="1" t="s">
        <v>89</v>
      </c>
      <c r="J243" s="1" t="s">
        <v>89</v>
      </c>
      <c r="K243" s="1" t="s">
        <v>89</v>
      </c>
      <c r="L243" s="1" t="s">
        <v>385</v>
      </c>
      <c r="M243" s="2">
        <v>21.75</v>
      </c>
      <c r="N243" s="30">
        <v>33</v>
      </c>
      <c r="O243" s="30">
        <f>IF(ISNUMBER(SEARCH("IMS",PMS_Catalog[[#This Row],[WU Id]])),"IMS",PMS_Catalog[[#This Row],[UNIQUE PRICE per hour]]*PMS_Catalog[[#This Row],[PMS Effort (Hours)]])</f>
        <v>717.75</v>
      </c>
      <c r="P243" s="30">
        <v>7</v>
      </c>
      <c r="Q243" s="53" t="s">
        <v>88</v>
      </c>
      <c r="R243" s="1" t="s">
        <v>89</v>
      </c>
      <c r="S243" s="1"/>
      <c r="T243" s="31">
        <v>45021</v>
      </c>
      <c r="U243" s="1" t="s">
        <v>149</v>
      </c>
      <c r="V243" s="31">
        <v>45021</v>
      </c>
      <c r="W243" s="1">
        <f t="shared" ca="1" si="6"/>
        <v>3</v>
      </c>
      <c r="X243" s="1" cm="1">
        <f t="array" aca="1" ref="X243" ca="1">_xlfn.IFS(W242=1,8%,W242=2,10%,W242&gt;2,10%,W242&lt;1,0)</f>
        <v>0.1</v>
      </c>
      <c r="Y243" s="35">
        <f t="shared" ca="1" si="7"/>
        <v>645.97500000000002</v>
      </c>
      <c r="Z243" s="40"/>
      <c r="AA243" s="1" t="str">
        <f>LEFT(PMS_Catalog[[#This Row],[WU Id]],3)</f>
        <v>PMS</v>
      </c>
    </row>
    <row r="244" spans="1:27" ht="39" customHeight="1">
      <c r="A244" s="1" t="s">
        <v>985</v>
      </c>
      <c r="B244" s="1" t="s">
        <v>78</v>
      </c>
      <c r="C244" s="1" t="s">
        <v>92</v>
      </c>
      <c r="D244" s="1" t="s">
        <v>982</v>
      </c>
      <c r="E244" s="1" t="s">
        <v>406</v>
      </c>
      <c r="F244" s="11" t="s">
        <v>192</v>
      </c>
      <c r="G244" s="21" t="s">
        <v>986</v>
      </c>
      <c r="H244" s="21" t="s">
        <v>987</v>
      </c>
      <c r="I244" s="1" t="s">
        <v>89</v>
      </c>
      <c r="J244" s="1" t="s">
        <v>89</v>
      </c>
      <c r="K244" s="1" t="s">
        <v>89</v>
      </c>
      <c r="L244" s="1" t="s">
        <v>694</v>
      </c>
      <c r="M244" s="2">
        <v>21.75</v>
      </c>
      <c r="N244" s="30">
        <v>3.5</v>
      </c>
      <c r="O244" s="30">
        <f>IF(ISNUMBER(SEARCH("IMS",PMS_Catalog[[#This Row],[WU Id]])),"IMS",PMS_Catalog[[#This Row],[UNIQUE PRICE per hour]]*PMS_Catalog[[#This Row],[PMS Effort (Hours)]])</f>
        <v>76.125</v>
      </c>
      <c r="P244" s="30">
        <v>5</v>
      </c>
      <c r="Q244" s="53" t="s">
        <v>88</v>
      </c>
      <c r="R244" s="1" t="s">
        <v>89</v>
      </c>
      <c r="S244" s="1"/>
      <c r="T244" s="31">
        <v>45021</v>
      </c>
      <c r="U244" s="1" t="s">
        <v>149</v>
      </c>
      <c r="V244" s="31">
        <v>45021</v>
      </c>
      <c r="W244" s="1">
        <f t="shared" ca="1" si="6"/>
        <v>3</v>
      </c>
      <c r="X244" s="1" cm="1">
        <f t="array" aca="1" ref="X244" ca="1">_xlfn.IFS(W243=1,8%,W243=2,10%,W243&gt;2,10%,W243&lt;1,0)</f>
        <v>0.1</v>
      </c>
      <c r="Y244" s="35">
        <f t="shared" ca="1" si="7"/>
        <v>68.512500000000003</v>
      </c>
      <c r="Z244" s="40"/>
      <c r="AA244" s="1" t="str">
        <f>LEFT(PMS_Catalog[[#This Row],[WU Id]],3)</f>
        <v>PMS</v>
      </c>
    </row>
    <row r="245" spans="1:27" ht="39" customHeight="1">
      <c r="A245" s="4" t="s">
        <v>988</v>
      </c>
      <c r="B245" s="4" t="s">
        <v>78</v>
      </c>
      <c r="C245" s="4" t="s">
        <v>92</v>
      </c>
      <c r="D245" s="4" t="s">
        <v>982</v>
      </c>
      <c r="E245" s="4" t="s">
        <v>406</v>
      </c>
      <c r="F245" s="13" t="s">
        <v>81</v>
      </c>
      <c r="G245" s="21" t="s">
        <v>989</v>
      </c>
      <c r="H245" s="21" t="s">
        <v>990</v>
      </c>
      <c r="I245" s="4" t="s">
        <v>89</v>
      </c>
      <c r="J245" s="4" t="s">
        <v>89</v>
      </c>
      <c r="K245" s="4" t="s">
        <v>89</v>
      </c>
      <c r="L245" s="4" t="s">
        <v>89</v>
      </c>
      <c r="M245" s="21">
        <v>21.75</v>
      </c>
      <c r="N245" s="34" t="s">
        <v>7</v>
      </c>
      <c r="O245" s="34" t="str">
        <f>IF(ISNUMBER(SEARCH("IMS",PMS_Catalog[[#This Row],[WU Id]])),"IMS",PMS_Catalog[[#This Row],[UNIQUE PRICE per hour]]*PMS_Catalog[[#This Row],[PMS Effort (Hours)]])</f>
        <v>IMS</v>
      </c>
      <c r="P245" s="34">
        <v>7</v>
      </c>
      <c r="Q245" s="53" t="s">
        <v>88</v>
      </c>
      <c r="R245" s="1" t="s">
        <v>89</v>
      </c>
      <c r="S245" s="1"/>
      <c r="T245" s="31">
        <v>45021</v>
      </c>
      <c r="U245" s="1" t="s">
        <v>149</v>
      </c>
      <c r="V245" s="31">
        <v>45021</v>
      </c>
      <c r="W245" s="1">
        <f t="shared" ca="1" si="6"/>
        <v>3</v>
      </c>
      <c r="X245" s="1" cm="1">
        <f t="array" aca="1" ref="X245" ca="1">_xlfn.IFS(W244=1,8%,W244=2,10%,W244&gt;2,10%,W244&lt;1,0)</f>
        <v>0.1</v>
      </c>
      <c r="Y245" s="35" t="str">
        <f t="shared" si="7"/>
        <v>IMS</v>
      </c>
      <c r="Z245" s="40"/>
      <c r="AA245" s="1" t="str">
        <f>LEFT(PMS_Catalog[[#This Row],[WU Id]],3)</f>
        <v>IMS</v>
      </c>
    </row>
    <row r="246" spans="1:27" ht="39" customHeight="1">
      <c r="A246" s="4" t="s">
        <v>991</v>
      </c>
      <c r="B246" s="4" t="s">
        <v>710</v>
      </c>
      <c r="C246" s="4" t="s">
        <v>92</v>
      </c>
      <c r="D246" s="4" t="s">
        <v>992</v>
      </c>
      <c r="E246" s="4" t="s">
        <v>993</v>
      </c>
      <c r="F246" s="11" t="s">
        <v>192</v>
      </c>
      <c r="G246" s="21" t="s">
        <v>994</v>
      </c>
      <c r="H246" s="21" t="s">
        <v>995</v>
      </c>
      <c r="I246" s="4" t="s">
        <v>89</v>
      </c>
      <c r="J246" s="4" t="s">
        <v>89</v>
      </c>
      <c r="K246" s="4" t="s">
        <v>89</v>
      </c>
      <c r="L246" s="4" t="s">
        <v>996</v>
      </c>
      <c r="M246" s="21">
        <v>21.75</v>
      </c>
      <c r="N246" s="30">
        <v>2</v>
      </c>
      <c r="O246" s="30">
        <f>IF(ISNUMBER(SEARCH("IMS",PMS_Catalog[[#This Row],[WU Id]])),"IMS",PMS_Catalog[[#This Row],[UNIQUE PRICE per hour]]*PMS_Catalog[[#This Row],[PMS Effort (Hours)]])</f>
        <v>43.5</v>
      </c>
      <c r="P246" s="30">
        <v>2</v>
      </c>
      <c r="Q246" s="53" t="s">
        <v>88</v>
      </c>
      <c r="R246" s="1" t="s">
        <v>89</v>
      </c>
      <c r="S246" s="1"/>
      <c r="T246" s="31">
        <v>45021</v>
      </c>
      <c r="U246" s="1" t="s">
        <v>149</v>
      </c>
      <c r="V246" s="31">
        <v>45021</v>
      </c>
      <c r="W246" s="1">
        <f t="shared" ca="1" si="6"/>
        <v>3</v>
      </c>
      <c r="X246" s="1" cm="1">
        <f t="array" aca="1" ref="X246" ca="1">_xlfn.IFS(W245=1,8%,W245=2,10%,W245&gt;2,10%,W245&lt;1,0)</f>
        <v>0.1</v>
      </c>
      <c r="Y246" s="35">
        <f t="shared" ca="1" si="7"/>
        <v>39.15</v>
      </c>
      <c r="Z246" s="40"/>
      <c r="AA246" s="1" t="str">
        <f>LEFT(PMS_Catalog[[#This Row],[WU Id]],3)</f>
        <v>PMS</v>
      </c>
    </row>
    <row r="247" spans="1:27" ht="39" customHeight="1">
      <c r="A247" s="1" t="s">
        <v>997</v>
      </c>
      <c r="B247" s="1" t="s">
        <v>710</v>
      </c>
      <c r="C247" s="1" t="s">
        <v>92</v>
      </c>
      <c r="D247" s="1" t="s">
        <v>992</v>
      </c>
      <c r="E247" s="1" t="s">
        <v>993</v>
      </c>
      <c r="F247" s="11" t="s">
        <v>192</v>
      </c>
      <c r="G247" s="21" t="s">
        <v>998</v>
      </c>
      <c r="H247" s="21" t="s">
        <v>999</v>
      </c>
      <c r="I247" s="1" t="s">
        <v>89</v>
      </c>
      <c r="J247" s="1" t="s">
        <v>89</v>
      </c>
      <c r="K247" s="1" t="s">
        <v>89</v>
      </c>
      <c r="L247" s="1" t="s">
        <v>1000</v>
      </c>
      <c r="M247" s="2">
        <v>21.75</v>
      </c>
      <c r="N247" s="30">
        <v>1</v>
      </c>
      <c r="O247" s="30">
        <f>IF(ISNUMBER(SEARCH("IMS",PMS_Catalog[[#This Row],[WU Id]])),"IMS",PMS_Catalog[[#This Row],[UNIQUE PRICE per hour]]*PMS_Catalog[[#This Row],[PMS Effort (Hours)]])</f>
        <v>21.75</v>
      </c>
      <c r="P247" s="30">
        <v>2</v>
      </c>
      <c r="Q247" s="53" t="s">
        <v>88</v>
      </c>
      <c r="R247" s="1" t="s">
        <v>89</v>
      </c>
      <c r="S247" s="1"/>
      <c r="T247" s="31">
        <v>45021</v>
      </c>
      <c r="U247" s="1" t="s">
        <v>149</v>
      </c>
      <c r="V247" s="31">
        <v>45021</v>
      </c>
      <c r="W247" s="1">
        <f t="shared" ca="1" si="6"/>
        <v>3</v>
      </c>
      <c r="X247" s="1" cm="1">
        <f t="array" aca="1" ref="X247" ca="1">_xlfn.IFS(W246=1,8%,W246=2,10%,W246&gt;2,10%,W246&lt;1,0)</f>
        <v>0.1</v>
      </c>
      <c r="Y247" s="35">
        <f t="shared" ca="1" si="7"/>
        <v>19.574999999999999</v>
      </c>
      <c r="Z247" s="40"/>
      <c r="AA247" s="1" t="str">
        <f>LEFT(PMS_Catalog[[#This Row],[WU Id]],3)</f>
        <v>PMS</v>
      </c>
    </row>
    <row r="248" spans="1:27" ht="39" customHeight="1">
      <c r="A248" s="4" t="s">
        <v>1001</v>
      </c>
      <c r="B248" s="4" t="s">
        <v>78</v>
      </c>
      <c r="C248" s="4" t="s">
        <v>92</v>
      </c>
      <c r="D248" s="4" t="s">
        <v>982</v>
      </c>
      <c r="E248" s="4" t="s">
        <v>406</v>
      </c>
      <c r="F248" s="12" t="s">
        <v>280</v>
      </c>
      <c r="G248" s="21" t="s">
        <v>1002</v>
      </c>
      <c r="H248" s="21" t="s">
        <v>1003</v>
      </c>
      <c r="I248" s="1" t="s">
        <v>89</v>
      </c>
      <c r="J248" s="1" t="s">
        <v>89</v>
      </c>
      <c r="K248" s="1" t="s">
        <v>89</v>
      </c>
      <c r="L248" s="1" t="s">
        <v>259</v>
      </c>
      <c r="M248" s="2">
        <v>21.75</v>
      </c>
      <c r="N248" s="30">
        <v>5</v>
      </c>
      <c r="O248" s="30">
        <f>IF(ISNUMBER(SEARCH("IMS",PMS_Catalog[[#This Row],[WU Id]])),"IMS",PMS_Catalog[[#This Row],[UNIQUE PRICE per hour]]*PMS_Catalog[[#This Row],[PMS Effort (Hours)]])</f>
        <v>108.75</v>
      </c>
      <c r="P248" s="30">
        <v>7</v>
      </c>
      <c r="Q248" s="53" t="s">
        <v>88</v>
      </c>
      <c r="R248" s="1" t="s">
        <v>89</v>
      </c>
      <c r="S248" s="1"/>
      <c r="T248" s="31">
        <v>45072</v>
      </c>
      <c r="U248" s="1" t="s">
        <v>149</v>
      </c>
      <c r="V248" s="31">
        <v>45072</v>
      </c>
      <c r="W248" s="1">
        <f t="shared" ca="1" si="6"/>
        <v>3</v>
      </c>
      <c r="X248" s="1" cm="1">
        <f t="array" aca="1" ref="X248" ca="1">_xlfn.IFS(W247=1,8%,W247=2,10%,W247&gt;2,10%,W247&lt;1,0)</f>
        <v>0.1</v>
      </c>
      <c r="Y248" s="35">
        <f t="shared" ca="1" si="7"/>
        <v>97.875</v>
      </c>
      <c r="Z248" s="40"/>
      <c r="AA248" s="1" t="str">
        <f>LEFT(PMS_Catalog[[#This Row],[WU Id]],3)</f>
        <v>PMS</v>
      </c>
    </row>
    <row r="249" spans="1:27" ht="39" customHeight="1">
      <c r="A249" s="4" t="s">
        <v>449</v>
      </c>
      <c r="B249" s="4" t="s">
        <v>710</v>
      </c>
      <c r="C249" s="4" t="s">
        <v>92</v>
      </c>
      <c r="D249" s="4" t="s">
        <v>982</v>
      </c>
      <c r="E249" s="4" t="s">
        <v>406</v>
      </c>
      <c r="F249" s="11" t="s">
        <v>192</v>
      </c>
      <c r="G249" s="21" t="s">
        <v>1004</v>
      </c>
      <c r="H249" s="21" t="s">
        <v>1005</v>
      </c>
      <c r="I249" s="4" t="s">
        <v>89</v>
      </c>
      <c r="J249" s="4" t="s">
        <v>89</v>
      </c>
      <c r="K249" s="4" t="s">
        <v>89</v>
      </c>
      <c r="L249" s="4" t="s">
        <v>1006</v>
      </c>
      <c r="M249" s="21">
        <v>21.75</v>
      </c>
      <c r="N249" s="30">
        <v>36</v>
      </c>
      <c r="O249" s="30">
        <f>IF(ISNUMBER(SEARCH("IMS",PMS_Catalog[[#This Row],[WU Id]])),"IMS",PMS_Catalog[[#This Row],[UNIQUE PRICE per hour]]*PMS_Catalog[[#This Row],[PMS Effort (Hours)]])</f>
        <v>783</v>
      </c>
      <c r="P249" s="30">
        <v>20</v>
      </c>
      <c r="Q249" s="53" t="s">
        <v>88</v>
      </c>
      <c r="R249" s="1" t="s">
        <v>89</v>
      </c>
      <c r="S249" s="1"/>
      <c r="T249" s="31">
        <v>45072</v>
      </c>
      <c r="U249" s="1" t="s">
        <v>149</v>
      </c>
      <c r="V249" s="31">
        <v>45072</v>
      </c>
      <c r="W249" s="1">
        <f t="shared" ca="1" si="6"/>
        <v>3</v>
      </c>
      <c r="X249" s="1" cm="1">
        <f t="array" aca="1" ref="X249" ca="1">_xlfn.IFS(W248=1,8%,W248=2,10%,W248&gt;2,10%,W248&lt;1,0)</f>
        <v>0.1</v>
      </c>
      <c r="Y249" s="35">
        <f t="shared" ca="1" si="7"/>
        <v>704.7</v>
      </c>
      <c r="Z249" s="40"/>
      <c r="AA249" s="1" t="str">
        <f>LEFT(PMS_Catalog[[#This Row],[WU Id]],3)</f>
        <v>PMS</v>
      </c>
    </row>
    <row r="250" spans="1:27" ht="39" customHeight="1">
      <c r="A250" s="1" t="s">
        <v>1007</v>
      </c>
      <c r="B250" s="1" t="s">
        <v>710</v>
      </c>
      <c r="C250" s="1" t="s">
        <v>92</v>
      </c>
      <c r="D250" s="1" t="s">
        <v>992</v>
      </c>
      <c r="E250" s="1" t="s">
        <v>993</v>
      </c>
      <c r="F250" s="11" t="s">
        <v>192</v>
      </c>
      <c r="G250" s="21" t="s">
        <v>1008</v>
      </c>
      <c r="H250" s="21" t="s">
        <v>1009</v>
      </c>
      <c r="I250" s="4" t="s">
        <v>89</v>
      </c>
      <c r="J250" s="4" t="s">
        <v>89</v>
      </c>
      <c r="K250" s="4" t="s">
        <v>89</v>
      </c>
      <c r="L250" s="4" t="s">
        <v>259</v>
      </c>
      <c r="M250" s="21">
        <v>21.75</v>
      </c>
      <c r="N250" s="30">
        <v>0.2</v>
      </c>
      <c r="O250" s="30">
        <f>IF(ISNUMBER(SEARCH("IMS",PMS_Catalog[[#This Row],[WU Id]])),"IMS",PMS_Catalog[[#This Row],[UNIQUE PRICE per hour]]*PMS_Catalog[[#This Row],[PMS Effort (Hours)]])</f>
        <v>4.3500000000000005</v>
      </c>
      <c r="P250" s="30">
        <v>2</v>
      </c>
      <c r="Q250" s="53" t="s">
        <v>88</v>
      </c>
      <c r="R250" s="1" t="s">
        <v>89</v>
      </c>
      <c r="S250" s="1"/>
      <c r="T250" s="31">
        <v>45072</v>
      </c>
      <c r="U250" s="1" t="s">
        <v>149</v>
      </c>
      <c r="V250" s="31">
        <v>45072</v>
      </c>
      <c r="W250" s="1">
        <f t="shared" ca="1" si="6"/>
        <v>3</v>
      </c>
      <c r="X250" s="1" cm="1">
        <f t="array" aca="1" ref="X250" ca="1">_xlfn.IFS(W249=1,8%,W249=2,10%,W249&gt;2,10%,W249&lt;1,0)</f>
        <v>0.1</v>
      </c>
      <c r="Y250" s="35">
        <f t="shared" ca="1" si="7"/>
        <v>3.9150000000000005</v>
      </c>
      <c r="Z250" s="40"/>
      <c r="AA250" s="1" t="str">
        <f>LEFT(PMS_Catalog[[#This Row],[WU Id]],3)</f>
        <v>PMS</v>
      </c>
    </row>
    <row r="251" spans="1:27" ht="39" customHeight="1">
      <c r="A251" s="4" t="s">
        <v>1010</v>
      </c>
      <c r="B251" s="4" t="s">
        <v>710</v>
      </c>
      <c r="C251" s="4" t="s">
        <v>92</v>
      </c>
      <c r="D251" s="4" t="s">
        <v>992</v>
      </c>
      <c r="E251" s="4" t="s">
        <v>993</v>
      </c>
      <c r="F251" s="11" t="s">
        <v>192</v>
      </c>
      <c r="G251" s="21" t="s">
        <v>1011</v>
      </c>
      <c r="H251" s="21" t="s">
        <v>1012</v>
      </c>
      <c r="I251" s="1" t="s">
        <v>89</v>
      </c>
      <c r="J251" s="1" t="s">
        <v>89</v>
      </c>
      <c r="K251" s="1" t="s">
        <v>89</v>
      </c>
      <c r="L251" s="1" t="s">
        <v>996</v>
      </c>
      <c r="M251" s="2">
        <v>21.75</v>
      </c>
      <c r="N251" s="30">
        <v>1</v>
      </c>
      <c r="O251" s="30">
        <f>IF(ISNUMBER(SEARCH("IMS",PMS_Catalog[[#This Row],[WU Id]])),"IMS",PMS_Catalog[[#This Row],[UNIQUE PRICE per hour]]*PMS_Catalog[[#This Row],[PMS Effort (Hours)]])</f>
        <v>21.75</v>
      </c>
      <c r="P251" s="30">
        <v>5</v>
      </c>
      <c r="Q251" s="53" t="s">
        <v>88</v>
      </c>
      <c r="R251" s="1" t="s">
        <v>89</v>
      </c>
      <c r="S251" s="1"/>
      <c r="T251" s="31">
        <v>45072</v>
      </c>
      <c r="U251" s="1" t="s">
        <v>149</v>
      </c>
      <c r="V251" s="31">
        <v>45072</v>
      </c>
      <c r="W251" s="1">
        <f t="shared" ca="1" si="6"/>
        <v>3</v>
      </c>
      <c r="X251" s="1" cm="1">
        <f t="array" aca="1" ref="X251" ca="1">_xlfn.IFS(W250=1,8%,W250=2,10%,W250&gt;2,10%,W250&lt;1,0)</f>
        <v>0.1</v>
      </c>
      <c r="Y251" s="35">
        <f t="shared" ca="1" si="7"/>
        <v>19.574999999999999</v>
      </c>
      <c r="Z251" s="40"/>
      <c r="AA251" s="1" t="str">
        <f>LEFT(PMS_Catalog[[#This Row],[WU Id]],3)</f>
        <v>PMS</v>
      </c>
    </row>
    <row r="252" spans="1:27" ht="39" customHeight="1">
      <c r="A252" s="4" t="s">
        <v>1013</v>
      </c>
      <c r="B252" s="4" t="s">
        <v>710</v>
      </c>
      <c r="C252" s="4" t="s">
        <v>92</v>
      </c>
      <c r="D252" s="4" t="s">
        <v>992</v>
      </c>
      <c r="E252" s="4" t="s">
        <v>993</v>
      </c>
      <c r="F252" s="11" t="s">
        <v>192</v>
      </c>
      <c r="G252" s="21" t="s">
        <v>1014</v>
      </c>
      <c r="H252" s="21" t="s">
        <v>1015</v>
      </c>
      <c r="I252" s="1" t="s">
        <v>89</v>
      </c>
      <c r="J252" s="1" t="s">
        <v>89</v>
      </c>
      <c r="K252" s="1" t="s">
        <v>89</v>
      </c>
      <c r="L252" s="1" t="s">
        <v>1016</v>
      </c>
      <c r="M252" s="2">
        <v>21.75</v>
      </c>
      <c r="N252" s="30">
        <v>1</v>
      </c>
      <c r="O252" s="30">
        <f>IF(ISNUMBER(SEARCH("IMS",PMS_Catalog[[#This Row],[WU Id]])),"IMS",PMS_Catalog[[#This Row],[UNIQUE PRICE per hour]]*PMS_Catalog[[#This Row],[PMS Effort (Hours)]])</f>
        <v>21.75</v>
      </c>
      <c r="P252" s="30">
        <v>1</v>
      </c>
      <c r="Q252" s="53" t="s">
        <v>88</v>
      </c>
      <c r="R252" s="1" t="s">
        <v>89</v>
      </c>
      <c r="S252" s="1"/>
      <c r="T252" s="31">
        <v>45072</v>
      </c>
      <c r="U252" s="1" t="s">
        <v>149</v>
      </c>
      <c r="V252" s="31">
        <v>45072</v>
      </c>
      <c r="W252" s="1">
        <f t="shared" ca="1" si="6"/>
        <v>3</v>
      </c>
      <c r="X252" s="1" cm="1">
        <f t="array" aca="1" ref="X252" ca="1">_xlfn.IFS(W251=1,8%,W251=2,10%,W251&gt;2,10%,W251&lt;1,0)</f>
        <v>0.1</v>
      </c>
      <c r="Y252" s="35">
        <f t="shared" ca="1" si="7"/>
        <v>19.574999999999999</v>
      </c>
      <c r="Z252" s="40"/>
      <c r="AA252" s="1" t="str">
        <f>LEFT(PMS_Catalog[[#This Row],[WU Id]],3)</f>
        <v>PMS</v>
      </c>
    </row>
    <row r="253" spans="1:27" ht="39" customHeight="1">
      <c r="A253" s="1" t="s">
        <v>1017</v>
      </c>
      <c r="B253" s="1" t="s">
        <v>710</v>
      </c>
      <c r="C253" s="1" t="s">
        <v>92</v>
      </c>
      <c r="D253" s="1" t="s">
        <v>992</v>
      </c>
      <c r="E253" s="1" t="s">
        <v>993</v>
      </c>
      <c r="F253" s="11" t="s">
        <v>192</v>
      </c>
      <c r="G253" s="21" t="s">
        <v>1018</v>
      </c>
      <c r="H253" s="21" t="s">
        <v>1019</v>
      </c>
      <c r="I253" s="4" t="s">
        <v>89</v>
      </c>
      <c r="J253" s="4" t="s">
        <v>89</v>
      </c>
      <c r="K253" s="4" t="s">
        <v>89</v>
      </c>
      <c r="L253" s="4" t="s">
        <v>1020</v>
      </c>
      <c r="M253" s="21">
        <v>21.75</v>
      </c>
      <c r="N253" s="30">
        <v>5</v>
      </c>
      <c r="O253" s="30">
        <f>IF(ISNUMBER(SEARCH("IMS",PMS_Catalog[[#This Row],[WU Id]])),"IMS",PMS_Catalog[[#This Row],[UNIQUE PRICE per hour]]*PMS_Catalog[[#This Row],[PMS Effort (Hours)]])</f>
        <v>108.75</v>
      </c>
      <c r="P253" s="30" t="s">
        <v>1021</v>
      </c>
      <c r="Q253" s="53" t="s">
        <v>88</v>
      </c>
      <c r="R253" s="1" t="s">
        <v>89</v>
      </c>
      <c r="S253" s="1"/>
      <c r="T253" s="31">
        <v>45072</v>
      </c>
      <c r="U253" s="1" t="s">
        <v>149</v>
      </c>
      <c r="V253" s="31">
        <v>45072</v>
      </c>
      <c r="W253" s="1">
        <f t="shared" ca="1" si="6"/>
        <v>3</v>
      </c>
      <c r="X253" s="1" cm="1">
        <f t="array" aca="1" ref="X253" ca="1">_xlfn.IFS(W252=1,8%,W252=2,10%,W252&gt;2,10%,W252&lt;1,0)</f>
        <v>0.1</v>
      </c>
      <c r="Y253" s="35">
        <f t="shared" ca="1" si="7"/>
        <v>97.875</v>
      </c>
      <c r="Z253" s="40"/>
      <c r="AA253" s="1" t="str">
        <f>LEFT(PMS_Catalog[[#This Row],[WU Id]],3)</f>
        <v>PMS</v>
      </c>
    </row>
    <row r="254" spans="1:27" ht="39" customHeight="1">
      <c r="A254" s="4" t="s">
        <v>1022</v>
      </c>
      <c r="B254" s="4" t="s">
        <v>710</v>
      </c>
      <c r="C254" s="4" t="s">
        <v>92</v>
      </c>
      <c r="D254" s="4" t="s">
        <v>992</v>
      </c>
      <c r="E254" s="4" t="s">
        <v>993</v>
      </c>
      <c r="F254" s="11" t="s">
        <v>192</v>
      </c>
      <c r="G254" s="21" t="s">
        <v>1023</v>
      </c>
      <c r="H254" s="21" t="s">
        <v>1024</v>
      </c>
      <c r="I254" s="4" t="s">
        <v>89</v>
      </c>
      <c r="J254" s="4" t="s">
        <v>89</v>
      </c>
      <c r="K254" s="4" t="s">
        <v>89</v>
      </c>
      <c r="L254" s="4" t="s">
        <v>1025</v>
      </c>
      <c r="M254" s="21">
        <v>21.75</v>
      </c>
      <c r="N254" s="30">
        <v>2</v>
      </c>
      <c r="O254" s="30">
        <f>IF(ISNUMBER(SEARCH("IMS",PMS_Catalog[[#This Row],[WU Id]])),"IMS",PMS_Catalog[[#This Row],[UNIQUE PRICE per hour]]*PMS_Catalog[[#This Row],[PMS Effort (Hours)]])</f>
        <v>43.5</v>
      </c>
      <c r="P254" s="30">
        <v>2</v>
      </c>
      <c r="Q254" s="53" t="s">
        <v>88</v>
      </c>
      <c r="R254" s="1" t="s">
        <v>89</v>
      </c>
      <c r="S254" s="1"/>
      <c r="T254" s="31">
        <v>45072</v>
      </c>
      <c r="U254" s="1" t="s">
        <v>149</v>
      </c>
      <c r="V254" s="31">
        <v>45072</v>
      </c>
      <c r="W254" s="1">
        <f t="shared" ca="1" si="6"/>
        <v>3</v>
      </c>
      <c r="X254" s="1" cm="1">
        <f t="array" aca="1" ref="X254" ca="1">_xlfn.IFS(W253=1,8%,W253=2,10%,W253&gt;2,10%,W253&lt;1,0)</f>
        <v>0.1</v>
      </c>
      <c r="Y254" s="35">
        <f t="shared" ca="1" si="7"/>
        <v>39.15</v>
      </c>
      <c r="Z254" s="40"/>
      <c r="AA254" s="1" t="str">
        <f>LEFT(PMS_Catalog[[#This Row],[WU Id]],3)</f>
        <v>PMS</v>
      </c>
    </row>
    <row r="255" spans="1:27" ht="39" customHeight="1">
      <c r="A255" s="4" t="s">
        <v>1026</v>
      </c>
      <c r="B255" s="4" t="s">
        <v>710</v>
      </c>
      <c r="C255" s="4" t="s">
        <v>92</v>
      </c>
      <c r="D255" s="4" t="s">
        <v>992</v>
      </c>
      <c r="E255" s="4" t="s">
        <v>993</v>
      </c>
      <c r="F255" s="11" t="s">
        <v>192</v>
      </c>
      <c r="G255" s="21" t="s">
        <v>1027</v>
      </c>
      <c r="H255" s="21" t="s">
        <v>1028</v>
      </c>
      <c r="I255" s="1" t="s">
        <v>89</v>
      </c>
      <c r="J255" s="1" t="s">
        <v>89</v>
      </c>
      <c r="K255" s="1" t="s">
        <v>89</v>
      </c>
      <c r="L255" s="1" t="s">
        <v>1025</v>
      </c>
      <c r="M255" s="2">
        <v>21.75</v>
      </c>
      <c r="N255" s="30">
        <v>3.5</v>
      </c>
      <c r="O255" s="30">
        <f>IF(ISNUMBER(SEARCH("IMS",PMS_Catalog[[#This Row],[WU Id]])),"IMS",PMS_Catalog[[#This Row],[UNIQUE PRICE per hour]]*PMS_Catalog[[#This Row],[PMS Effort (Hours)]])</f>
        <v>76.125</v>
      </c>
      <c r="P255" s="30">
        <v>2</v>
      </c>
      <c r="Q255" s="53" t="s">
        <v>88</v>
      </c>
      <c r="R255" s="1" t="s">
        <v>89</v>
      </c>
      <c r="S255" s="1"/>
      <c r="T255" s="31">
        <v>45021</v>
      </c>
      <c r="U255" s="1" t="s">
        <v>149</v>
      </c>
      <c r="V255" s="31">
        <v>45021</v>
      </c>
      <c r="W255" s="1">
        <f t="shared" ca="1" si="6"/>
        <v>3</v>
      </c>
      <c r="X255" s="1" cm="1">
        <f t="array" aca="1" ref="X255" ca="1">_xlfn.IFS(W254=1,8%,W254=2,10%,W254&gt;2,10%,W254&lt;1,0)</f>
        <v>0.1</v>
      </c>
      <c r="Y255" s="35">
        <f t="shared" ca="1" si="7"/>
        <v>68.512500000000003</v>
      </c>
      <c r="Z255" s="40"/>
      <c r="AA255" s="1" t="str">
        <f>LEFT(PMS_Catalog[[#This Row],[WU Id]],3)</f>
        <v>PMS</v>
      </c>
    </row>
    <row r="256" spans="1:27" ht="66.75" customHeight="1">
      <c r="A256" s="1" t="s">
        <v>1029</v>
      </c>
      <c r="B256" s="1" t="s">
        <v>78</v>
      </c>
      <c r="C256" s="1" t="s">
        <v>92</v>
      </c>
      <c r="D256" s="1" t="s">
        <v>1030</v>
      </c>
      <c r="E256" s="1" t="s">
        <v>1031</v>
      </c>
      <c r="F256" s="11" t="s">
        <v>192</v>
      </c>
      <c r="G256" s="21" t="s">
        <v>1032</v>
      </c>
      <c r="H256" s="21" t="s">
        <v>1033</v>
      </c>
      <c r="I256" s="1" t="s">
        <v>89</v>
      </c>
      <c r="J256" s="1" t="s">
        <v>89</v>
      </c>
      <c r="K256" s="1" t="s">
        <v>89</v>
      </c>
      <c r="L256" s="1" t="s">
        <v>1034</v>
      </c>
      <c r="M256" s="2">
        <v>21.75</v>
      </c>
      <c r="N256" s="30">
        <v>7.2</v>
      </c>
      <c r="O256" s="30">
        <f>IF(ISNUMBER(SEARCH("IMS",PMS_Catalog[[#This Row],[WU Id]])),"IMS",PMS_Catalog[[#This Row],[UNIQUE PRICE per hour]]*PMS_Catalog[[#This Row],[PMS Effort (Hours)]])</f>
        <v>156.6</v>
      </c>
      <c r="P256" s="30">
        <v>7</v>
      </c>
      <c r="Q256" s="53" t="s">
        <v>88</v>
      </c>
      <c r="R256" s="1" t="s">
        <v>89</v>
      </c>
      <c r="S256" s="1"/>
      <c r="T256" s="31">
        <v>45086</v>
      </c>
      <c r="U256" s="1" t="s">
        <v>278</v>
      </c>
      <c r="V256" s="31">
        <v>45086</v>
      </c>
      <c r="W256" s="1">
        <f t="shared" ca="1" si="6"/>
        <v>3</v>
      </c>
      <c r="X256" s="1" cm="1">
        <f t="array" aca="1" ref="X256" ca="1">_xlfn.IFS(W255=1,8%,W255=2,10%,W255&gt;2,10%,W255&lt;1,0)</f>
        <v>0.1</v>
      </c>
      <c r="Y256" s="35">
        <f t="shared" ca="1" si="7"/>
        <v>140.94</v>
      </c>
      <c r="Z256" s="40"/>
      <c r="AA256" s="1" t="str">
        <f>LEFT(PMS_Catalog[[#This Row],[WU Id]],3)</f>
        <v>PMS</v>
      </c>
    </row>
    <row r="257" spans="1:27" ht="76.5" customHeight="1">
      <c r="A257" s="4" t="s">
        <v>1035</v>
      </c>
      <c r="B257" s="4" t="s">
        <v>78</v>
      </c>
      <c r="C257" s="4" t="s">
        <v>92</v>
      </c>
      <c r="D257" s="4" t="s">
        <v>1030</v>
      </c>
      <c r="E257" s="4" t="s">
        <v>1031</v>
      </c>
      <c r="F257" s="11" t="s">
        <v>192</v>
      </c>
      <c r="G257" s="21" t="s">
        <v>1036</v>
      </c>
      <c r="H257" s="21" t="s">
        <v>1037</v>
      </c>
      <c r="I257" s="4" t="s">
        <v>89</v>
      </c>
      <c r="J257" s="4" t="s">
        <v>89</v>
      </c>
      <c r="K257" s="4" t="s">
        <v>89</v>
      </c>
      <c r="L257" s="4" t="s">
        <v>1034</v>
      </c>
      <c r="M257" s="21">
        <v>21.75</v>
      </c>
      <c r="N257" s="30">
        <v>2</v>
      </c>
      <c r="O257" s="30">
        <f>IF(ISNUMBER(SEARCH("IMS",PMS_Catalog[[#This Row],[WU Id]])),"IMS",PMS_Catalog[[#This Row],[UNIQUE PRICE per hour]]*PMS_Catalog[[#This Row],[PMS Effort (Hours)]])</f>
        <v>43.5</v>
      </c>
      <c r="P257" s="30">
        <v>7</v>
      </c>
      <c r="Q257" s="53" t="s">
        <v>88</v>
      </c>
      <c r="R257" s="1" t="s">
        <v>89</v>
      </c>
      <c r="S257" s="1"/>
      <c r="T257" s="31">
        <v>45086</v>
      </c>
      <c r="U257" s="1" t="s">
        <v>278</v>
      </c>
      <c r="V257" s="31">
        <v>45086</v>
      </c>
      <c r="W257" s="1">
        <f t="shared" ca="1" si="6"/>
        <v>3</v>
      </c>
      <c r="X257" s="1" cm="1">
        <f t="array" aca="1" ref="X257" ca="1">_xlfn.IFS(W256=1,8%,W256=2,10%,W256&gt;2,10%,W256&lt;1,0)</f>
        <v>0.1</v>
      </c>
      <c r="Y257" s="35">
        <f t="shared" ca="1" si="7"/>
        <v>39.15</v>
      </c>
      <c r="Z257" s="40"/>
      <c r="AA257" s="1" t="str">
        <f>LEFT(PMS_Catalog[[#This Row],[WU Id]],3)</f>
        <v>PMS</v>
      </c>
    </row>
    <row r="258" spans="1:27" ht="39" customHeight="1">
      <c r="A258" s="4" t="s">
        <v>1038</v>
      </c>
      <c r="B258" s="4" t="s">
        <v>78</v>
      </c>
      <c r="C258" s="4" t="s">
        <v>901</v>
      </c>
      <c r="D258" s="4" t="s">
        <v>935</v>
      </c>
      <c r="E258" s="4" t="s">
        <v>935</v>
      </c>
      <c r="F258" s="14" t="s">
        <v>81</v>
      </c>
      <c r="G258" s="21" t="s">
        <v>1039</v>
      </c>
      <c r="H258" s="21" t="s">
        <v>1040</v>
      </c>
      <c r="I258" s="1" t="s">
        <v>1039</v>
      </c>
      <c r="J258" s="1" t="s">
        <v>257</v>
      </c>
      <c r="K258" s="1" t="s">
        <v>89</v>
      </c>
      <c r="L258" s="1" t="s">
        <v>522</v>
      </c>
      <c r="M258" s="2">
        <v>21.75</v>
      </c>
      <c r="N258" s="34" t="s">
        <v>7</v>
      </c>
      <c r="O258" s="34" t="str">
        <f>IF(ISNUMBER(SEARCH("IMS",PMS_Catalog[[#This Row],[WU Id]])),"IMS",PMS_Catalog[[#This Row],[UNIQUE PRICE per hour]]*PMS_Catalog[[#This Row],[PMS Effort (Hours)]])</f>
        <v>IMS</v>
      </c>
      <c r="P258" s="34">
        <v>3</v>
      </c>
      <c r="Q258" s="53" t="s">
        <v>88</v>
      </c>
      <c r="R258" s="1" t="s">
        <v>89</v>
      </c>
      <c r="S258" s="1"/>
      <c r="T258" s="31">
        <v>45086</v>
      </c>
      <c r="U258" s="1" t="s">
        <v>278</v>
      </c>
      <c r="V258" s="31">
        <v>45086</v>
      </c>
      <c r="W258" s="1">
        <f t="shared" ref="W258:W321" ca="1" si="8">DATEDIF(V258, TODAY(), "Y")</f>
        <v>3</v>
      </c>
      <c r="X258" s="1" cm="1">
        <f t="array" aca="1" ref="X258" ca="1">_xlfn.IFS(W257=1,8%,W257=2,10%,W257&gt;2,10%,W257&lt;1,0)</f>
        <v>0.1</v>
      </c>
      <c r="Y258" s="35" t="str">
        <f t="shared" ref="Y258:Y321" si="9">IF(ISNUMBER(SEARCH("IMS",A258)),"IMS",O258-O258*X258)</f>
        <v>IMS</v>
      </c>
      <c r="Z258" s="40"/>
      <c r="AA258" s="1" t="str">
        <f>LEFT(PMS_Catalog[[#This Row],[WU Id]],3)</f>
        <v>IMS</v>
      </c>
    </row>
    <row r="259" spans="1:27" ht="138.75" customHeight="1">
      <c r="A259" s="1" t="s">
        <v>1041</v>
      </c>
      <c r="B259" s="1" t="s">
        <v>78</v>
      </c>
      <c r="C259" s="1" t="s">
        <v>92</v>
      </c>
      <c r="D259" s="1" t="s">
        <v>1030</v>
      </c>
      <c r="E259" s="1" t="s">
        <v>1031</v>
      </c>
      <c r="F259" s="11" t="s">
        <v>192</v>
      </c>
      <c r="G259" s="21" t="s">
        <v>1042</v>
      </c>
      <c r="H259" s="21" t="s">
        <v>1043</v>
      </c>
      <c r="I259" s="1" t="s">
        <v>89</v>
      </c>
      <c r="J259" s="1" t="s">
        <v>89</v>
      </c>
      <c r="K259" s="1" t="s">
        <v>89</v>
      </c>
      <c r="L259" s="1" t="s">
        <v>1034</v>
      </c>
      <c r="M259" s="2">
        <v>21.75</v>
      </c>
      <c r="N259" s="30">
        <v>2</v>
      </c>
      <c r="O259" s="30">
        <f>IF(ISNUMBER(SEARCH("IMS",PMS_Catalog[[#This Row],[WU Id]])),"IMS",PMS_Catalog[[#This Row],[UNIQUE PRICE per hour]]*PMS_Catalog[[#This Row],[PMS Effort (Hours)]])</f>
        <v>43.5</v>
      </c>
      <c r="P259" s="30">
        <v>7</v>
      </c>
      <c r="Q259" s="53" t="s">
        <v>88</v>
      </c>
      <c r="R259" s="1" t="s">
        <v>89</v>
      </c>
      <c r="S259" s="1"/>
      <c r="T259" s="31">
        <v>45086</v>
      </c>
      <c r="U259" s="1" t="s">
        <v>278</v>
      </c>
      <c r="V259" s="31">
        <v>45086</v>
      </c>
      <c r="W259" s="1">
        <f t="shared" ca="1" si="8"/>
        <v>3</v>
      </c>
      <c r="X259" s="1" cm="1">
        <f t="array" aca="1" ref="X259" ca="1">_xlfn.IFS(W258=1,8%,W258=2,10%,W258&gt;2,10%,W258&lt;1,0)</f>
        <v>0.1</v>
      </c>
      <c r="Y259" s="35">
        <f t="shared" ca="1" si="9"/>
        <v>39.15</v>
      </c>
      <c r="Z259" s="40"/>
      <c r="AA259" s="1" t="str">
        <f>LEFT(PMS_Catalog[[#This Row],[WU Id]],3)</f>
        <v>PMS</v>
      </c>
    </row>
    <row r="260" spans="1:27" ht="39" customHeight="1">
      <c r="A260" s="4" t="s">
        <v>1044</v>
      </c>
      <c r="B260" s="4" t="s">
        <v>78</v>
      </c>
      <c r="C260" s="4" t="s">
        <v>92</v>
      </c>
      <c r="D260" s="4" t="s">
        <v>1030</v>
      </c>
      <c r="E260" s="4" t="s">
        <v>1031</v>
      </c>
      <c r="F260" s="11" t="s">
        <v>408</v>
      </c>
      <c r="G260" s="21" t="s">
        <v>1045</v>
      </c>
      <c r="H260" s="21" t="s">
        <v>1046</v>
      </c>
      <c r="I260" s="1" t="s">
        <v>89</v>
      </c>
      <c r="J260" s="1" t="s">
        <v>89</v>
      </c>
      <c r="K260" s="1" t="s">
        <v>89</v>
      </c>
      <c r="L260" s="1" t="s">
        <v>1034</v>
      </c>
      <c r="M260" s="2">
        <v>21.75</v>
      </c>
      <c r="N260" s="30">
        <v>6</v>
      </c>
      <c r="O260" s="30">
        <f>IF(ISNUMBER(SEARCH("IMS",PMS_Catalog[[#This Row],[WU Id]])),"IMS",PMS_Catalog[[#This Row],[UNIQUE PRICE per hour]]*PMS_Catalog[[#This Row],[PMS Effort (Hours)]])</f>
        <v>130.5</v>
      </c>
      <c r="P260" s="30">
        <v>7</v>
      </c>
      <c r="Q260" s="53" t="s">
        <v>88</v>
      </c>
      <c r="R260" s="1" t="s">
        <v>89</v>
      </c>
      <c r="S260" s="1"/>
      <c r="T260" s="31">
        <v>45086</v>
      </c>
      <c r="U260" s="1" t="s">
        <v>278</v>
      </c>
      <c r="V260" s="31">
        <v>45086</v>
      </c>
      <c r="W260" s="1">
        <f t="shared" ca="1" si="8"/>
        <v>3</v>
      </c>
      <c r="X260" s="1" cm="1">
        <f t="array" aca="1" ref="X260" ca="1">_xlfn.IFS(W259=1,8%,W259=2,10%,W259&gt;2,10%,W259&lt;1,0)</f>
        <v>0.1</v>
      </c>
      <c r="Y260" s="35">
        <f t="shared" ca="1" si="9"/>
        <v>117.45</v>
      </c>
      <c r="Z260" s="40"/>
      <c r="AA260" s="1" t="str">
        <f>LEFT(PMS_Catalog[[#This Row],[WU Id]],3)</f>
        <v>PMS</v>
      </c>
    </row>
    <row r="261" spans="1:27" ht="39" customHeight="1">
      <c r="A261" s="4" t="s">
        <v>1047</v>
      </c>
      <c r="B261" s="4" t="s">
        <v>78</v>
      </c>
      <c r="C261" s="4" t="s">
        <v>92</v>
      </c>
      <c r="D261" s="4" t="s">
        <v>1030</v>
      </c>
      <c r="E261" s="4" t="s">
        <v>1031</v>
      </c>
      <c r="F261" s="11" t="s">
        <v>140</v>
      </c>
      <c r="G261" s="21" t="s">
        <v>1048</v>
      </c>
      <c r="H261" s="21" t="s">
        <v>1049</v>
      </c>
      <c r="I261" s="4" t="s">
        <v>89</v>
      </c>
      <c r="J261" s="4" t="s">
        <v>89</v>
      </c>
      <c r="K261" s="4" t="s">
        <v>89</v>
      </c>
      <c r="L261" s="4" t="s">
        <v>1034</v>
      </c>
      <c r="M261" s="21">
        <v>21.75</v>
      </c>
      <c r="N261" s="30">
        <v>3</v>
      </c>
      <c r="O261" s="30">
        <f>IF(ISNUMBER(SEARCH("IMS",PMS_Catalog[[#This Row],[WU Id]])),"IMS",PMS_Catalog[[#This Row],[UNIQUE PRICE per hour]]*PMS_Catalog[[#This Row],[PMS Effort (Hours)]])</f>
        <v>65.25</v>
      </c>
      <c r="P261" s="30">
        <v>7</v>
      </c>
      <c r="Q261" s="53" t="s">
        <v>88</v>
      </c>
      <c r="R261" s="1" t="s">
        <v>89</v>
      </c>
      <c r="S261" s="1"/>
      <c r="T261" s="31">
        <v>45086</v>
      </c>
      <c r="U261" s="1" t="s">
        <v>278</v>
      </c>
      <c r="V261" s="31">
        <v>45086</v>
      </c>
      <c r="W261" s="1">
        <f t="shared" ca="1" si="8"/>
        <v>3</v>
      </c>
      <c r="X261" s="1" cm="1">
        <f t="array" aca="1" ref="X261" ca="1">_xlfn.IFS(W260=1,8%,W260=2,10%,W260&gt;2,10%,W260&lt;1,0)</f>
        <v>0.1</v>
      </c>
      <c r="Y261" s="35">
        <f t="shared" ca="1" si="9"/>
        <v>58.725000000000001</v>
      </c>
      <c r="Z261" s="40"/>
      <c r="AA261" s="1" t="str">
        <f>LEFT(PMS_Catalog[[#This Row],[WU Id]],3)</f>
        <v>PMS</v>
      </c>
    </row>
    <row r="262" spans="1:27" ht="39" customHeight="1">
      <c r="A262" s="1" t="s">
        <v>1050</v>
      </c>
      <c r="B262" s="1" t="s">
        <v>78</v>
      </c>
      <c r="C262" s="1" t="s">
        <v>901</v>
      </c>
      <c r="D262" s="1" t="s">
        <v>935</v>
      </c>
      <c r="E262" s="1" t="s">
        <v>935</v>
      </c>
      <c r="F262" s="14" t="s">
        <v>81</v>
      </c>
      <c r="G262" s="21" t="s">
        <v>1051</v>
      </c>
      <c r="H262" s="21" t="s">
        <v>1052</v>
      </c>
      <c r="I262" s="1" t="s">
        <v>1051</v>
      </c>
      <c r="J262" s="1" t="s">
        <v>257</v>
      </c>
      <c r="K262" s="1" t="s">
        <v>89</v>
      </c>
      <c r="L262" s="1" t="s">
        <v>522</v>
      </c>
      <c r="M262" s="2">
        <v>21.75</v>
      </c>
      <c r="N262" s="34" t="s">
        <v>7</v>
      </c>
      <c r="O262" s="34" t="str">
        <f>IF(ISNUMBER(SEARCH("IMS",PMS_Catalog[[#This Row],[WU Id]])),"IMS",PMS_Catalog[[#This Row],[UNIQUE PRICE per hour]]*PMS_Catalog[[#This Row],[PMS Effort (Hours)]])</f>
        <v>IMS</v>
      </c>
      <c r="P262" s="34">
        <v>3</v>
      </c>
      <c r="Q262" s="53" t="s">
        <v>88</v>
      </c>
      <c r="R262" s="1" t="s">
        <v>89</v>
      </c>
      <c r="S262" s="1"/>
      <c r="T262" s="31">
        <v>45086</v>
      </c>
      <c r="U262" s="1" t="s">
        <v>278</v>
      </c>
      <c r="V262" s="31">
        <v>45086</v>
      </c>
      <c r="W262" s="1">
        <f t="shared" ca="1" si="8"/>
        <v>3</v>
      </c>
      <c r="X262" s="1" cm="1">
        <f t="array" aca="1" ref="X262" ca="1">_xlfn.IFS(W261=1,8%,W261=2,10%,W261&gt;2,10%,W261&lt;1,0)</f>
        <v>0.1</v>
      </c>
      <c r="Y262" s="35" t="str">
        <f t="shared" si="9"/>
        <v>IMS</v>
      </c>
      <c r="Z262" s="40"/>
      <c r="AA262" s="1" t="str">
        <f>LEFT(PMS_Catalog[[#This Row],[WU Id]],3)</f>
        <v>IMS</v>
      </c>
    </row>
    <row r="263" spans="1:27" ht="39" customHeight="1">
      <c r="A263" s="4" t="s">
        <v>1053</v>
      </c>
      <c r="B263" s="4" t="s">
        <v>78</v>
      </c>
      <c r="C263" s="4" t="s">
        <v>901</v>
      </c>
      <c r="D263" s="4" t="s">
        <v>935</v>
      </c>
      <c r="E263" s="4" t="s">
        <v>935</v>
      </c>
      <c r="F263" s="14" t="s">
        <v>81</v>
      </c>
      <c r="G263" s="21" t="s">
        <v>1054</v>
      </c>
      <c r="H263" s="21" t="s">
        <v>1055</v>
      </c>
      <c r="I263" s="1" t="s">
        <v>1056</v>
      </c>
      <c r="J263" s="1" t="s">
        <v>257</v>
      </c>
      <c r="K263" s="1" t="s">
        <v>89</v>
      </c>
      <c r="L263" s="1" t="s">
        <v>522</v>
      </c>
      <c r="M263" s="2">
        <v>21.75</v>
      </c>
      <c r="N263" s="34" t="s">
        <v>7</v>
      </c>
      <c r="O263" s="34" t="str">
        <f>IF(ISNUMBER(SEARCH("IMS",PMS_Catalog[[#This Row],[WU Id]])),"IMS",PMS_Catalog[[#This Row],[UNIQUE PRICE per hour]]*PMS_Catalog[[#This Row],[PMS Effort (Hours)]])</f>
        <v>IMS</v>
      </c>
      <c r="P263" s="34">
        <v>3</v>
      </c>
      <c r="Q263" s="53" t="s">
        <v>88</v>
      </c>
      <c r="R263" s="1" t="s">
        <v>89</v>
      </c>
      <c r="S263" s="1"/>
      <c r="T263" s="31">
        <v>45086</v>
      </c>
      <c r="U263" s="1" t="s">
        <v>278</v>
      </c>
      <c r="V263" s="31">
        <v>45086</v>
      </c>
      <c r="W263" s="1">
        <f t="shared" ca="1" si="8"/>
        <v>3</v>
      </c>
      <c r="X263" s="1" cm="1">
        <f t="array" aca="1" ref="X263" ca="1">_xlfn.IFS(W262=1,8%,W262=2,10%,W262&gt;2,10%,W262&lt;1,0)</f>
        <v>0.1</v>
      </c>
      <c r="Y263" s="35" t="str">
        <f t="shared" si="9"/>
        <v>IMS</v>
      </c>
      <c r="Z263" s="40"/>
      <c r="AA263" s="1" t="str">
        <f>LEFT(PMS_Catalog[[#This Row],[WU Id]],3)</f>
        <v>IMS</v>
      </c>
    </row>
    <row r="264" spans="1:27" ht="39" customHeight="1">
      <c r="A264" s="1" t="s">
        <v>1057</v>
      </c>
      <c r="B264" s="1" t="s">
        <v>78</v>
      </c>
      <c r="C264" s="1" t="s">
        <v>901</v>
      </c>
      <c r="D264" s="1" t="s">
        <v>935</v>
      </c>
      <c r="E264" s="1" t="s">
        <v>935</v>
      </c>
      <c r="F264" s="14" t="s">
        <v>81</v>
      </c>
      <c r="G264" s="21" t="s">
        <v>1058</v>
      </c>
      <c r="H264" s="21" t="s">
        <v>1059</v>
      </c>
      <c r="I264" s="1" t="s">
        <v>1058</v>
      </c>
      <c r="J264" s="1" t="s">
        <v>257</v>
      </c>
      <c r="K264" s="1" t="s">
        <v>89</v>
      </c>
      <c r="L264" s="1" t="s">
        <v>522</v>
      </c>
      <c r="M264" s="2">
        <v>21.75</v>
      </c>
      <c r="N264" s="34" t="s">
        <v>7</v>
      </c>
      <c r="O264" s="34" t="str">
        <f>IF(ISNUMBER(SEARCH("IMS",PMS_Catalog[[#This Row],[WU Id]])),"IMS",PMS_Catalog[[#This Row],[UNIQUE PRICE per hour]]*PMS_Catalog[[#This Row],[PMS Effort (Hours)]])</f>
        <v>IMS</v>
      </c>
      <c r="P264" s="34">
        <v>3</v>
      </c>
      <c r="Q264" s="53" t="s">
        <v>88</v>
      </c>
      <c r="R264" s="1" t="s">
        <v>89</v>
      </c>
      <c r="S264" s="1"/>
      <c r="T264" s="31">
        <v>45086</v>
      </c>
      <c r="U264" s="1" t="s">
        <v>278</v>
      </c>
      <c r="V264" s="31">
        <v>45086</v>
      </c>
      <c r="W264" s="1">
        <f t="shared" ca="1" si="8"/>
        <v>3</v>
      </c>
      <c r="X264" s="1" cm="1">
        <f t="array" aca="1" ref="X264" ca="1">_xlfn.IFS(W263=1,8%,W263=2,10%,W263&gt;2,10%,W263&lt;1,0)</f>
        <v>0.1</v>
      </c>
      <c r="Y264" s="35" t="str">
        <f t="shared" si="9"/>
        <v>IMS</v>
      </c>
      <c r="Z264" s="40"/>
      <c r="AA264" s="1" t="str">
        <f>LEFT(PMS_Catalog[[#This Row],[WU Id]],3)</f>
        <v>IMS</v>
      </c>
    </row>
    <row r="265" spans="1:27" ht="39" customHeight="1">
      <c r="A265" s="1" t="s">
        <v>1060</v>
      </c>
      <c r="B265" s="1" t="s">
        <v>78</v>
      </c>
      <c r="C265" s="1" t="s">
        <v>901</v>
      </c>
      <c r="D265" s="1" t="s">
        <v>930</v>
      </c>
      <c r="E265" s="1" t="s">
        <v>930</v>
      </c>
      <c r="F265" s="11" t="s">
        <v>192</v>
      </c>
      <c r="G265" s="21" t="s">
        <v>1061</v>
      </c>
      <c r="H265" s="21" t="s">
        <v>1062</v>
      </c>
      <c r="I265" s="4" t="s">
        <v>89</v>
      </c>
      <c r="J265" s="4" t="s">
        <v>89</v>
      </c>
      <c r="K265" s="4" t="s">
        <v>89</v>
      </c>
      <c r="L265" s="4" t="s">
        <v>1063</v>
      </c>
      <c r="M265" s="21">
        <v>21.75</v>
      </c>
      <c r="N265" s="30">
        <v>4</v>
      </c>
      <c r="O265" s="30">
        <f>IF(ISNUMBER(SEARCH("IMS",PMS_Catalog[[#This Row],[WU Id]])),"IMS",PMS_Catalog[[#This Row],[UNIQUE PRICE per hour]]*PMS_Catalog[[#This Row],[PMS Effort (Hours)]])</f>
        <v>87</v>
      </c>
      <c r="P265" s="30">
        <v>3</v>
      </c>
      <c r="Q265" s="53" t="s">
        <v>88</v>
      </c>
      <c r="R265" s="1" t="s">
        <v>89</v>
      </c>
      <c r="S265" s="1"/>
      <c r="T265" s="31">
        <v>45086</v>
      </c>
      <c r="U265" s="1" t="s">
        <v>278</v>
      </c>
      <c r="V265" s="31">
        <v>45086</v>
      </c>
      <c r="W265" s="1">
        <f t="shared" ca="1" si="8"/>
        <v>3</v>
      </c>
      <c r="X265" s="1" cm="1">
        <f t="array" aca="1" ref="X265" ca="1">_xlfn.IFS(W264=1,8%,W264=2,10%,W264&gt;2,10%,W264&lt;1,0)</f>
        <v>0.1</v>
      </c>
      <c r="Y265" s="35">
        <f t="shared" ca="1" si="9"/>
        <v>78.3</v>
      </c>
      <c r="Z265" s="40"/>
      <c r="AA265" s="1" t="str">
        <f>LEFT(PMS_Catalog[[#This Row],[WU Id]],3)</f>
        <v>PMS</v>
      </c>
    </row>
    <row r="266" spans="1:27" ht="39" customHeight="1">
      <c r="A266" s="4" t="s">
        <v>1064</v>
      </c>
      <c r="B266" s="4" t="s">
        <v>78</v>
      </c>
      <c r="C266" s="4" t="s">
        <v>901</v>
      </c>
      <c r="D266" s="4" t="s">
        <v>935</v>
      </c>
      <c r="E266" s="4" t="s">
        <v>935</v>
      </c>
      <c r="F266" s="14" t="s">
        <v>81</v>
      </c>
      <c r="G266" s="21" t="s">
        <v>1065</v>
      </c>
      <c r="H266" s="21" t="s">
        <v>1066</v>
      </c>
      <c r="I266" s="1" t="s">
        <v>1065</v>
      </c>
      <c r="J266" s="1" t="s">
        <v>257</v>
      </c>
      <c r="K266" s="1" t="s">
        <v>89</v>
      </c>
      <c r="L266" s="1" t="s">
        <v>522</v>
      </c>
      <c r="M266" s="2">
        <v>21.75</v>
      </c>
      <c r="N266" s="34" t="s">
        <v>7</v>
      </c>
      <c r="O266" s="34" t="str">
        <f>IF(ISNUMBER(SEARCH("IMS",PMS_Catalog[[#This Row],[WU Id]])),"IMS",PMS_Catalog[[#This Row],[UNIQUE PRICE per hour]]*PMS_Catalog[[#This Row],[PMS Effort (Hours)]])</f>
        <v>IMS</v>
      </c>
      <c r="P266" s="34">
        <v>3</v>
      </c>
      <c r="Q266" s="53" t="s">
        <v>88</v>
      </c>
      <c r="R266" s="1" t="s">
        <v>89</v>
      </c>
      <c r="S266" s="1"/>
      <c r="T266" s="31">
        <v>45086</v>
      </c>
      <c r="U266" s="1" t="s">
        <v>278</v>
      </c>
      <c r="V266" s="31">
        <v>45086</v>
      </c>
      <c r="W266" s="1">
        <f t="shared" ca="1" si="8"/>
        <v>3</v>
      </c>
      <c r="X266" s="1" cm="1">
        <f t="array" aca="1" ref="X266" ca="1">_xlfn.IFS(W265=1,8%,W265=2,10%,W265&gt;2,10%,W265&lt;1,0)</f>
        <v>0.1</v>
      </c>
      <c r="Y266" s="35" t="str">
        <f t="shared" si="9"/>
        <v>IMS</v>
      </c>
      <c r="Z266" s="40"/>
      <c r="AA266" s="1" t="str">
        <f>LEFT(PMS_Catalog[[#This Row],[WU Id]],3)</f>
        <v>IMS</v>
      </c>
    </row>
    <row r="267" spans="1:27" ht="39" customHeight="1">
      <c r="A267" s="4" t="s">
        <v>1067</v>
      </c>
      <c r="B267" s="4" t="s">
        <v>78</v>
      </c>
      <c r="C267" s="4" t="s">
        <v>901</v>
      </c>
      <c r="D267" s="4" t="s">
        <v>935</v>
      </c>
      <c r="E267" s="4" t="s">
        <v>935</v>
      </c>
      <c r="F267" s="14" t="s">
        <v>81</v>
      </c>
      <c r="G267" s="21" t="s">
        <v>1068</v>
      </c>
      <c r="H267" s="21" t="s">
        <v>1069</v>
      </c>
      <c r="I267" s="1" t="s">
        <v>1068</v>
      </c>
      <c r="J267" s="1" t="s">
        <v>257</v>
      </c>
      <c r="K267" s="1" t="s">
        <v>89</v>
      </c>
      <c r="L267" s="1" t="s">
        <v>522</v>
      </c>
      <c r="M267" s="2">
        <v>21.75</v>
      </c>
      <c r="N267" s="34" t="s">
        <v>7</v>
      </c>
      <c r="O267" s="34" t="str">
        <f>IF(ISNUMBER(SEARCH("IMS",PMS_Catalog[[#This Row],[WU Id]])),"IMS",PMS_Catalog[[#This Row],[UNIQUE PRICE per hour]]*PMS_Catalog[[#This Row],[PMS Effort (Hours)]])</f>
        <v>IMS</v>
      </c>
      <c r="P267" s="34">
        <v>5</v>
      </c>
      <c r="Q267" s="53" t="s">
        <v>88</v>
      </c>
      <c r="R267" s="1" t="s">
        <v>89</v>
      </c>
      <c r="S267" s="1"/>
      <c r="T267" s="31">
        <v>45086</v>
      </c>
      <c r="U267" s="1" t="s">
        <v>278</v>
      </c>
      <c r="V267" s="31">
        <v>45086</v>
      </c>
      <c r="W267" s="1">
        <f t="shared" ca="1" si="8"/>
        <v>3</v>
      </c>
      <c r="X267" s="1" cm="1">
        <f t="array" aca="1" ref="X267" ca="1">_xlfn.IFS(W266=1,8%,W266=2,10%,W266&gt;2,10%,W266&lt;1,0)</f>
        <v>0.1</v>
      </c>
      <c r="Y267" s="35" t="str">
        <f t="shared" si="9"/>
        <v>IMS</v>
      </c>
      <c r="Z267" s="40"/>
      <c r="AA267" s="1" t="str">
        <f>LEFT(PMS_Catalog[[#This Row],[WU Id]],3)</f>
        <v>IMS</v>
      </c>
    </row>
    <row r="268" spans="1:27" ht="39" customHeight="1">
      <c r="A268" s="1" t="s">
        <v>1070</v>
      </c>
      <c r="B268" s="1" t="s">
        <v>78</v>
      </c>
      <c r="C268" s="1" t="s">
        <v>901</v>
      </c>
      <c r="D268" s="1" t="s">
        <v>935</v>
      </c>
      <c r="E268" s="1" t="s">
        <v>935</v>
      </c>
      <c r="F268" s="14" t="s">
        <v>81</v>
      </c>
      <c r="G268" s="21" t="s">
        <v>1071</v>
      </c>
      <c r="H268" s="21" t="s">
        <v>1072</v>
      </c>
      <c r="I268" s="1" t="s">
        <v>1071</v>
      </c>
      <c r="J268" s="1" t="s">
        <v>257</v>
      </c>
      <c r="K268" s="1" t="s">
        <v>89</v>
      </c>
      <c r="L268" s="1" t="s">
        <v>522</v>
      </c>
      <c r="M268" s="2">
        <v>21.75</v>
      </c>
      <c r="N268" s="34" t="s">
        <v>7</v>
      </c>
      <c r="O268" s="34" t="str">
        <f>IF(ISNUMBER(SEARCH("IMS",PMS_Catalog[[#This Row],[WU Id]])),"IMS",PMS_Catalog[[#This Row],[UNIQUE PRICE per hour]]*PMS_Catalog[[#This Row],[PMS Effort (Hours)]])</f>
        <v>IMS</v>
      </c>
      <c r="P268" s="34">
        <v>5</v>
      </c>
      <c r="Q268" s="53" t="s">
        <v>88</v>
      </c>
      <c r="R268" s="1" t="s">
        <v>89</v>
      </c>
      <c r="S268" s="1"/>
      <c r="T268" s="31">
        <v>45086</v>
      </c>
      <c r="U268" s="1" t="s">
        <v>278</v>
      </c>
      <c r="V268" s="31">
        <v>45086</v>
      </c>
      <c r="W268" s="1">
        <f t="shared" ca="1" si="8"/>
        <v>3</v>
      </c>
      <c r="X268" s="1" cm="1">
        <f t="array" aca="1" ref="X268" ca="1">_xlfn.IFS(W267=1,8%,W267=2,10%,W267&gt;2,10%,W267&lt;1,0)</f>
        <v>0.1</v>
      </c>
      <c r="Y268" s="35" t="str">
        <f t="shared" si="9"/>
        <v>IMS</v>
      </c>
      <c r="Z268" s="40"/>
      <c r="AA268" s="1" t="str">
        <f>LEFT(PMS_Catalog[[#This Row],[WU Id]],3)</f>
        <v>IMS</v>
      </c>
    </row>
    <row r="269" spans="1:27" ht="39" customHeight="1">
      <c r="A269" s="4" t="s">
        <v>1073</v>
      </c>
      <c r="B269" s="4" t="s">
        <v>78</v>
      </c>
      <c r="C269" s="4" t="s">
        <v>901</v>
      </c>
      <c r="D269" s="4" t="s">
        <v>930</v>
      </c>
      <c r="E269" s="4" t="s">
        <v>930</v>
      </c>
      <c r="F269" s="11" t="s">
        <v>192</v>
      </c>
      <c r="G269" s="21" t="s">
        <v>1074</v>
      </c>
      <c r="H269" s="21" t="s">
        <v>1075</v>
      </c>
      <c r="I269" s="4" t="s">
        <v>89</v>
      </c>
      <c r="J269" s="4" t="s">
        <v>89</v>
      </c>
      <c r="K269" s="4" t="s">
        <v>89</v>
      </c>
      <c r="L269" s="4" t="s">
        <v>1063</v>
      </c>
      <c r="M269" s="21">
        <v>21.75</v>
      </c>
      <c r="N269" s="30">
        <v>8</v>
      </c>
      <c r="O269" s="30">
        <f>IF(ISNUMBER(SEARCH("IMS",PMS_Catalog[[#This Row],[WU Id]])),"IMS",PMS_Catalog[[#This Row],[UNIQUE PRICE per hour]]*PMS_Catalog[[#This Row],[PMS Effort (Hours)]])</f>
        <v>174</v>
      </c>
      <c r="P269" s="30">
        <v>5</v>
      </c>
      <c r="Q269" s="53" t="s">
        <v>88</v>
      </c>
      <c r="R269" s="1" t="s">
        <v>89</v>
      </c>
      <c r="S269" s="1"/>
      <c r="T269" s="31">
        <v>45086</v>
      </c>
      <c r="U269" s="1" t="s">
        <v>278</v>
      </c>
      <c r="V269" s="31">
        <v>45086</v>
      </c>
      <c r="W269" s="1">
        <f t="shared" ca="1" si="8"/>
        <v>3</v>
      </c>
      <c r="X269" s="1" cm="1">
        <f t="array" aca="1" ref="X269" ca="1">_xlfn.IFS(W268=1,8%,W268=2,10%,W268&gt;2,10%,W268&lt;1,0)</f>
        <v>0.1</v>
      </c>
      <c r="Y269" s="35">
        <f t="shared" ca="1" si="9"/>
        <v>156.6</v>
      </c>
      <c r="Z269" s="40"/>
      <c r="AA269" s="1" t="str">
        <f>LEFT(PMS_Catalog[[#This Row],[WU Id]],3)</f>
        <v>PMS</v>
      </c>
    </row>
    <row r="270" spans="1:27" ht="39" customHeight="1">
      <c r="A270" s="1" t="s">
        <v>1076</v>
      </c>
      <c r="B270" s="1" t="s">
        <v>78</v>
      </c>
      <c r="C270" s="1" t="s">
        <v>901</v>
      </c>
      <c r="D270" s="1" t="s">
        <v>930</v>
      </c>
      <c r="E270" s="1" t="s">
        <v>930</v>
      </c>
      <c r="F270" s="13" t="s">
        <v>81</v>
      </c>
      <c r="G270" s="21" t="s">
        <v>1077</v>
      </c>
      <c r="H270" s="21" t="s">
        <v>1078</v>
      </c>
      <c r="I270" s="1" t="s">
        <v>89</v>
      </c>
      <c r="J270" s="1" t="s">
        <v>89</v>
      </c>
      <c r="K270" s="1" t="s">
        <v>89</v>
      </c>
      <c r="L270" s="1" t="s">
        <v>1063</v>
      </c>
      <c r="M270" s="2">
        <v>21.75</v>
      </c>
      <c r="N270" s="34" t="s">
        <v>7</v>
      </c>
      <c r="O270" s="34" t="str">
        <f>IF(ISNUMBER(SEARCH("IMS",PMS_Catalog[[#This Row],[WU Id]])),"IMS",PMS_Catalog[[#This Row],[UNIQUE PRICE per hour]]*PMS_Catalog[[#This Row],[PMS Effort (Hours)]])</f>
        <v>IMS</v>
      </c>
      <c r="P270" s="34">
        <v>3</v>
      </c>
      <c r="Q270" s="53" t="s">
        <v>88</v>
      </c>
      <c r="R270" s="1" t="s">
        <v>89</v>
      </c>
      <c r="S270" s="1"/>
      <c r="T270" s="31">
        <v>45086</v>
      </c>
      <c r="U270" s="1" t="s">
        <v>278</v>
      </c>
      <c r="V270" s="31">
        <v>45086</v>
      </c>
      <c r="W270" s="1">
        <f t="shared" ca="1" si="8"/>
        <v>3</v>
      </c>
      <c r="X270" s="1" cm="1">
        <f t="array" aca="1" ref="X270" ca="1">_xlfn.IFS(W269=1,8%,W269=2,10%,W269&gt;2,10%,W269&lt;1,0)</f>
        <v>0.1</v>
      </c>
      <c r="Y270" s="35" t="str">
        <f t="shared" si="9"/>
        <v>IMS</v>
      </c>
      <c r="Z270" s="40"/>
      <c r="AA270" s="1" t="str">
        <f>LEFT(PMS_Catalog[[#This Row],[WU Id]],3)</f>
        <v>IMS</v>
      </c>
    </row>
    <row r="271" spans="1:27" ht="39" customHeight="1">
      <c r="A271" s="4" t="s">
        <v>1079</v>
      </c>
      <c r="B271" s="4" t="s">
        <v>78</v>
      </c>
      <c r="C271" s="4" t="s">
        <v>901</v>
      </c>
      <c r="D271" s="4" t="s">
        <v>930</v>
      </c>
      <c r="E271" s="4" t="s">
        <v>930</v>
      </c>
      <c r="F271" s="13" t="s">
        <v>140</v>
      </c>
      <c r="G271" s="21" t="s">
        <v>1080</v>
      </c>
      <c r="H271" s="21" t="s">
        <v>1081</v>
      </c>
      <c r="I271" s="4" t="s">
        <v>89</v>
      </c>
      <c r="J271" s="4" t="s">
        <v>89</v>
      </c>
      <c r="K271" s="4" t="s">
        <v>89</v>
      </c>
      <c r="L271" s="4" t="s">
        <v>1063</v>
      </c>
      <c r="M271" s="21">
        <v>21.75</v>
      </c>
      <c r="N271" s="34" t="s">
        <v>7</v>
      </c>
      <c r="O271" s="34" t="str">
        <f>IF(ISNUMBER(SEARCH("IMS",PMS_Catalog[[#This Row],[WU Id]])),"IMS",PMS_Catalog[[#This Row],[UNIQUE PRICE per hour]]*PMS_Catalog[[#This Row],[PMS Effort (Hours)]])</f>
        <v>IMS</v>
      </c>
      <c r="P271" s="34">
        <v>45</v>
      </c>
      <c r="Q271" s="53" t="s">
        <v>88</v>
      </c>
      <c r="R271" s="1" t="s">
        <v>89</v>
      </c>
      <c r="S271" s="1"/>
      <c r="T271" s="31">
        <v>45086</v>
      </c>
      <c r="U271" s="1" t="s">
        <v>278</v>
      </c>
      <c r="V271" s="31">
        <v>45086</v>
      </c>
      <c r="W271" s="1">
        <f t="shared" ca="1" si="8"/>
        <v>3</v>
      </c>
      <c r="X271" s="1" cm="1">
        <f t="array" aca="1" ref="X271" ca="1">_xlfn.IFS(W270=1,8%,W270=2,10%,W270&gt;2,10%,W270&lt;1,0)</f>
        <v>0.1</v>
      </c>
      <c r="Y271" s="35" t="str">
        <f t="shared" si="9"/>
        <v>IMS</v>
      </c>
      <c r="Z271" s="40"/>
      <c r="AA271" s="1" t="str">
        <f>LEFT(PMS_Catalog[[#This Row],[WU Id]],3)</f>
        <v>IMS</v>
      </c>
    </row>
    <row r="272" spans="1:27" ht="39" customHeight="1">
      <c r="A272" s="4" t="s">
        <v>1082</v>
      </c>
      <c r="B272" s="4" t="s">
        <v>78</v>
      </c>
      <c r="C272" s="4" t="s">
        <v>901</v>
      </c>
      <c r="D272" s="4" t="s">
        <v>930</v>
      </c>
      <c r="E272" s="4" t="s">
        <v>930</v>
      </c>
      <c r="F272" s="11" t="s">
        <v>192</v>
      </c>
      <c r="G272" s="21" t="s">
        <v>1083</v>
      </c>
      <c r="H272" s="21" t="s">
        <v>1084</v>
      </c>
      <c r="I272" s="1" t="s">
        <v>89</v>
      </c>
      <c r="J272" s="1" t="s">
        <v>89</v>
      </c>
      <c r="K272" s="1" t="s">
        <v>89</v>
      </c>
      <c r="L272" s="1" t="s">
        <v>1063</v>
      </c>
      <c r="M272" s="2">
        <v>21.75</v>
      </c>
      <c r="N272" s="30">
        <v>6</v>
      </c>
      <c r="O272" s="30">
        <f>IF(ISNUMBER(SEARCH("IMS",PMS_Catalog[[#This Row],[WU Id]])),"IMS",PMS_Catalog[[#This Row],[UNIQUE PRICE per hour]]*PMS_Catalog[[#This Row],[PMS Effort (Hours)]])</f>
        <v>130.5</v>
      </c>
      <c r="P272" s="30">
        <v>3</v>
      </c>
      <c r="Q272" s="53" t="s">
        <v>88</v>
      </c>
      <c r="R272" s="1" t="s">
        <v>89</v>
      </c>
      <c r="S272" s="1"/>
      <c r="T272" s="31">
        <v>45086</v>
      </c>
      <c r="U272" s="1" t="s">
        <v>278</v>
      </c>
      <c r="V272" s="31">
        <v>45086</v>
      </c>
      <c r="W272" s="1">
        <f t="shared" ca="1" si="8"/>
        <v>3</v>
      </c>
      <c r="X272" s="1" cm="1">
        <f t="array" aca="1" ref="X272" ca="1">_xlfn.IFS(W271=1,8%,W271=2,10%,W271&gt;2,10%,W271&lt;1,0)</f>
        <v>0.1</v>
      </c>
      <c r="Y272" s="35">
        <f t="shared" ca="1" si="9"/>
        <v>117.45</v>
      </c>
      <c r="Z272" s="40"/>
      <c r="AA272" s="1" t="str">
        <f>LEFT(PMS_Catalog[[#This Row],[WU Id]],3)</f>
        <v>PMS</v>
      </c>
    </row>
    <row r="273" spans="1:27" ht="39" customHeight="1">
      <c r="A273" s="1" t="s">
        <v>1085</v>
      </c>
      <c r="B273" s="1" t="s">
        <v>78</v>
      </c>
      <c r="C273" s="1" t="s">
        <v>901</v>
      </c>
      <c r="D273" s="1" t="s">
        <v>930</v>
      </c>
      <c r="E273" s="1" t="s">
        <v>930</v>
      </c>
      <c r="F273" s="13" t="s">
        <v>81</v>
      </c>
      <c r="G273" s="21" t="s">
        <v>1086</v>
      </c>
      <c r="H273" s="21" t="s">
        <v>1087</v>
      </c>
      <c r="I273" s="1" t="s">
        <v>89</v>
      </c>
      <c r="J273" s="1" t="s">
        <v>89</v>
      </c>
      <c r="K273" s="1" t="s">
        <v>89</v>
      </c>
      <c r="L273" s="1" t="s">
        <v>1088</v>
      </c>
      <c r="M273" s="2">
        <v>21.75</v>
      </c>
      <c r="N273" s="34" t="s">
        <v>7</v>
      </c>
      <c r="O273" s="34" t="str">
        <f>IF(ISNUMBER(SEARCH("IMS",PMS_Catalog[[#This Row],[WU Id]])),"IMS",PMS_Catalog[[#This Row],[UNIQUE PRICE per hour]]*PMS_Catalog[[#This Row],[PMS Effort (Hours)]])</f>
        <v>IMS</v>
      </c>
      <c r="P273" s="34">
        <v>3</v>
      </c>
      <c r="Q273" s="53" t="s">
        <v>88</v>
      </c>
      <c r="R273" s="1" t="s">
        <v>89</v>
      </c>
      <c r="S273" s="1"/>
      <c r="T273" s="31">
        <v>45086</v>
      </c>
      <c r="U273" s="1" t="s">
        <v>278</v>
      </c>
      <c r="V273" s="31">
        <v>45086</v>
      </c>
      <c r="W273" s="1">
        <f t="shared" ca="1" si="8"/>
        <v>3</v>
      </c>
      <c r="X273" s="1" cm="1">
        <f t="array" aca="1" ref="X273" ca="1">_xlfn.IFS(W272=1,8%,W272=2,10%,W272&gt;2,10%,W272&lt;1,0)</f>
        <v>0.1</v>
      </c>
      <c r="Y273" s="35" t="str">
        <f t="shared" si="9"/>
        <v>IMS</v>
      </c>
      <c r="Z273" s="40"/>
      <c r="AA273" s="1" t="str">
        <f>LEFT(PMS_Catalog[[#This Row],[WU Id]],3)</f>
        <v>IMS</v>
      </c>
    </row>
    <row r="274" spans="1:27" ht="39" customHeight="1">
      <c r="A274" s="1" t="s">
        <v>1089</v>
      </c>
      <c r="B274" s="1" t="s">
        <v>78</v>
      </c>
      <c r="C274" s="1" t="s">
        <v>901</v>
      </c>
      <c r="D274" s="1" t="s">
        <v>930</v>
      </c>
      <c r="E274" s="1" t="s">
        <v>930</v>
      </c>
      <c r="F274" s="11" t="s">
        <v>192</v>
      </c>
      <c r="G274" s="21" t="s">
        <v>1090</v>
      </c>
      <c r="H274" s="21" t="s">
        <v>1091</v>
      </c>
      <c r="I274" s="4" t="s">
        <v>89</v>
      </c>
      <c r="J274" s="4" t="s">
        <v>89</v>
      </c>
      <c r="K274" s="4" t="s">
        <v>89</v>
      </c>
      <c r="L274" s="4" t="s">
        <v>1063</v>
      </c>
      <c r="M274" s="21">
        <v>21.75</v>
      </c>
      <c r="N274" s="30">
        <v>6</v>
      </c>
      <c r="O274" s="30">
        <f>IF(ISNUMBER(SEARCH("IMS",PMS_Catalog[[#This Row],[WU Id]])),"IMS",PMS_Catalog[[#This Row],[UNIQUE PRICE per hour]]*PMS_Catalog[[#This Row],[PMS Effort (Hours)]])</f>
        <v>130.5</v>
      </c>
      <c r="P274" s="30">
        <v>3</v>
      </c>
      <c r="Q274" s="53" t="s">
        <v>88</v>
      </c>
      <c r="R274" s="1" t="s">
        <v>89</v>
      </c>
      <c r="S274" s="1"/>
      <c r="T274" s="31">
        <v>45086</v>
      </c>
      <c r="U274" s="1" t="s">
        <v>278</v>
      </c>
      <c r="V274" s="31">
        <v>45086</v>
      </c>
      <c r="W274" s="1">
        <f t="shared" ca="1" si="8"/>
        <v>3</v>
      </c>
      <c r="X274" s="1" cm="1">
        <f t="array" aca="1" ref="X274" ca="1">_xlfn.IFS(W273=1,8%,W273=2,10%,W273&gt;2,10%,W273&lt;1,0)</f>
        <v>0.1</v>
      </c>
      <c r="Y274" s="35">
        <f t="shared" ca="1" si="9"/>
        <v>117.45</v>
      </c>
      <c r="Z274" s="40"/>
      <c r="AA274" s="1" t="str">
        <f>LEFT(PMS_Catalog[[#This Row],[WU Id]],3)</f>
        <v>PMS</v>
      </c>
    </row>
    <row r="275" spans="1:27" ht="39" customHeight="1">
      <c r="A275" s="4" t="s">
        <v>1092</v>
      </c>
      <c r="B275" s="4" t="s">
        <v>78</v>
      </c>
      <c r="C275" s="4" t="s">
        <v>901</v>
      </c>
      <c r="D275" s="4" t="s">
        <v>930</v>
      </c>
      <c r="E275" s="4" t="s">
        <v>930</v>
      </c>
      <c r="F275" s="13" t="s">
        <v>81</v>
      </c>
      <c r="G275" s="21" t="s">
        <v>1093</v>
      </c>
      <c r="H275" s="21" t="s">
        <v>1084</v>
      </c>
      <c r="I275" s="4" t="s">
        <v>89</v>
      </c>
      <c r="J275" s="4" t="s">
        <v>89</v>
      </c>
      <c r="K275" s="4" t="s">
        <v>89</v>
      </c>
      <c r="L275" s="4" t="s">
        <v>1063</v>
      </c>
      <c r="M275" s="21">
        <v>21.75</v>
      </c>
      <c r="N275" s="34" t="s">
        <v>7</v>
      </c>
      <c r="O275" s="34" t="str">
        <f>IF(ISNUMBER(SEARCH("IMS",PMS_Catalog[[#This Row],[WU Id]])),"IMS",PMS_Catalog[[#This Row],[UNIQUE PRICE per hour]]*PMS_Catalog[[#This Row],[PMS Effort (Hours)]])</f>
        <v>IMS</v>
      </c>
      <c r="P275" s="34">
        <v>3</v>
      </c>
      <c r="Q275" s="53" t="s">
        <v>88</v>
      </c>
      <c r="R275" s="1" t="s">
        <v>89</v>
      </c>
      <c r="S275" s="1"/>
      <c r="T275" s="31">
        <v>45086</v>
      </c>
      <c r="U275" s="1" t="s">
        <v>278</v>
      </c>
      <c r="V275" s="31">
        <v>45086</v>
      </c>
      <c r="W275" s="1">
        <f t="shared" ca="1" si="8"/>
        <v>3</v>
      </c>
      <c r="X275" s="1" cm="1">
        <f t="array" aca="1" ref="X275" ca="1">_xlfn.IFS(W274=1,8%,W274=2,10%,W274&gt;2,10%,W274&lt;1,0)</f>
        <v>0.1</v>
      </c>
      <c r="Y275" s="35" t="str">
        <f t="shared" si="9"/>
        <v>IMS</v>
      </c>
      <c r="Z275" s="40"/>
      <c r="AA275" s="1" t="str">
        <f>LEFT(PMS_Catalog[[#This Row],[WU Id]],3)</f>
        <v>IMS</v>
      </c>
    </row>
    <row r="276" spans="1:27" ht="39" customHeight="1">
      <c r="A276" s="4" t="s">
        <v>1094</v>
      </c>
      <c r="B276" s="4" t="s">
        <v>78</v>
      </c>
      <c r="C276" s="4" t="s">
        <v>901</v>
      </c>
      <c r="D276" s="4" t="s">
        <v>930</v>
      </c>
      <c r="E276" s="4" t="s">
        <v>930</v>
      </c>
      <c r="F276" s="13" t="s">
        <v>81</v>
      </c>
      <c r="G276" s="21" t="s">
        <v>1095</v>
      </c>
      <c r="H276" s="21" t="s">
        <v>1096</v>
      </c>
      <c r="I276" s="1" t="s">
        <v>89</v>
      </c>
      <c r="J276" s="1" t="s">
        <v>89</v>
      </c>
      <c r="K276" s="1" t="s">
        <v>89</v>
      </c>
      <c r="L276" s="1" t="s">
        <v>1063</v>
      </c>
      <c r="M276" s="2">
        <v>21.75</v>
      </c>
      <c r="N276" s="34" t="s">
        <v>7</v>
      </c>
      <c r="O276" s="34" t="str">
        <f>IF(ISNUMBER(SEARCH("IMS",PMS_Catalog[[#This Row],[WU Id]])),"IMS",PMS_Catalog[[#This Row],[UNIQUE PRICE per hour]]*PMS_Catalog[[#This Row],[PMS Effort (Hours)]])</f>
        <v>IMS</v>
      </c>
      <c r="P276" s="34">
        <v>3</v>
      </c>
      <c r="Q276" s="53" t="s">
        <v>88</v>
      </c>
      <c r="R276" s="1" t="s">
        <v>89</v>
      </c>
      <c r="S276" s="1"/>
      <c r="T276" s="31">
        <v>45086</v>
      </c>
      <c r="U276" s="1" t="s">
        <v>278</v>
      </c>
      <c r="V276" s="31">
        <v>45086</v>
      </c>
      <c r="W276" s="1">
        <f t="shared" ca="1" si="8"/>
        <v>3</v>
      </c>
      <c r="X276" s="1" cm="1">
        <f t="array" aca="1" ref="X276" ca="1">_xlfn.IFS(W275=1,8%,W275=2,10%,W275&gt;2,10%,W275&lt;1,0)</f>
        <v>0.1</v>
      </c>
      <c r="Y276" s="35" t="str">
        <f t="shared" si="9"/>
        <v>IMS</v>
      </c>
      <c r="Z276" s="40"/>
      <c r="AA276" s="1" t="str">
        <f>LEFT(PMS_Catalog[[#This Row],[WU Id]],3)</f>
        <v>IMS</v>
      </c>
    </row>
    <row r="277" spans="1:27" ht="39" customHeight="1">
      <c r="A277" s="4" t="s">
        <v>1097</v>
      </c>
      <c r="B277" s="4" t="s">
        <v>78</v>
      </c>
      <c r="C277" s="4" t="s">
        <v>92</v>
      </c>
      <c r="D277" s="4" t="s">
        <v>1030</v>
      </c>
      <c r="E277" s="4" t="s">
        <v>1031</v>
      </c>
      <c r="F277" s="13" t="s">
        <v>81</v>
      </c>
      <c r="G277" s="21" t="s">
        <v>1098</v>
      </c>
      <c r="H277" s="21" t="s">
        <v>1037</v>
      </c>
      <c r="I277" s="4" t="s">
        <v>89</v>
      </c>
      <c r="J277" s="4" t="s">
        <v>89</v>
      </c>
      <c r="K277" s="4" t="s">
        <v>89</v>
      </c>
      <c r="L277" s="4" t="s">
        <v>1034</v>
      </c>
      <c r="M277" s="21">
        <v>21.75</v>
      </c>
      <c r="N277" s="34" t="s">
        <v>7</v>
      </c>
      <c r="O277" s="34" t="str">
        <f>IF(ISNUMBER(SEARCH("IMS",PMS_Catalog[[#This Row],[WU Id]])),"IMS",PMS_Catalog[[#This Row],[UNIQUE PRICE per hour]]*PMS_Catalog[[#This Row],[PMS Effort (Hours)]])</f>
        <v>IMS</v>
      </c>
      <c r="P277" s="34">
        <v>7</v>
      </c>
      <c r="Q277" s="53" t="s">
        <v>88</v>
      </c>
      <c r="R277" s="1" t="s">
        <v>89</v>
      </c>
      <c r="S277" s="1"/>
      <c r="T277" s="31">
        <v>45086</v>
      </c>
      <c r="U277" s="1" t="s">
        <v>278</v>
      </c>
      <c r="V277" s="31">
        <v>45086</v>
      </c>
      <c r="W277" s="1">
        <f t="shared" ca="1" si="8"/>
        <v>3</v>
      </c>
      <c r="X277" s="1" cm="1">
        <f t="array" aca="1" ref="X277" ca="1">_xlfn.IFS(W276=1,8%,W276=2,10%,W276&gt;2,10%,W276&lt;1,0)</f>
        <v>0.1</v>
      </c>
      <c r="Y277" s="35" t="str">
        <f t="shared" si="9"/>
        <v>IMS</v>
      </c>
      <c r="Z277" s="40"/>
      <c r="AA277" s="1" t="str">
        <f>LEFT(PMS_Catalog[[#This Row],[WU Id]],3)</f>
        <v>IMS</v>
      </c>
    </row>
    <row r="278" spans="1:27" ht="39" customHeight="1">
      <c r="A278" s="4" t="s">
        <v>1099</v>
      </c>
      <c r="B278" s="4" t="s">
        <v>78</v>
      </c>
      <c r="C278" s="4" t="s">
        <v>901</v>
      </c>
      <c r="D278" s="4" t="s">
        <v>935</v>
      </c>
      <c r="E278" s="4" t="s">
        <v>935</v>
      </c>
      <c r="F278" s="12" t="s">
        <v>192</v>
      </c>
      <c r="G278" s="21" t="s">
        <v>1100</v>
      </c>
      <c r="H278" s="21" t="s">
        <v>1101</v>
      </c>
      <c r="I278" s="1" t="s">
        <v>1102</v>
      </c>
      <c r="J278" s="1" t="s">
        <v>257</v>
      </c>
      <c r="K278" s="1" t="s">
        <v>89</v>
      </c>
      <c r="L278" s="1" t="s">
        <v>522</v>
      </c>
      <c r="M278" s="2">
        <v>21.75</v>
      </c>
      <c r="N278" s="30">
        <v>0.5</v>
      </c>
      <c r="O278" s="30">
        <f>IF(ISNUMBER(SEARCH("IMS",PMS_Catalog[[#This Row],[WU Id]])),"IMS",PMS_Catalog[[#This Row],[UNIQUE PRICE per hour]]*PMS_Catalog[[#This Row],[PMS Effort (Hours)]])</f>
        <v>10.875</v>
      </c>
      <c r="P278" s="30">
        <v>3</v>
      </c>
      <c r="Q278" s="53" t="s">
        <v>88</v>
      </c>
      <c r="R278" s="1" t="s">
        <v>89</v>
      </c>
      <c r="S278" s="1"/>
      <c r="T278" s="31">
        <v>45086</v>
      </c>
      <c r="U278" s="1" t="s">
        <v>278</v>
      </c>
      <c r="V278" s="31">
        <v>45086</v>
      </c>
      <c r="W278" s="1">
        <f t="shared" ca="1" si="8"/>
        <v>3</v>
      </c>
      <c r="X278" s="1" cm="1">
        <f t="array" aca="1" ref="X278" ca="1">_xlfn.IFS(W277=1,8%,W277=2,10%,W277&gt;2,10%,W277&lt;1,0)</f>
        <v>0.1</v>
      </c>
      <c r="Y278" s="35">
        <f t="shared" ca="1" si="9"/>
        <v>9.7874999999999996</v>
      </c>
      <c r="Z278" s="40"/>
      <c r="AA278" s="1" t="str">
        <f>LEFT(PMS_Catalog[[#This Row],[WU Id]],3)</f>
        <v>PMS</v>
      </c>
    </row>
    <row r="279" spans="1:27" ht="39" customHeight="1">
      <c r="A279" s="1" t="s">
        <v>1103</v>
      </c>
      <c r="B279" s="1" t="s">
        <v>78</v>
      </c>
      <c r="C279" s="1" t="s">
        <v>92</v>
      </c>
      <c r="D279" s="1" t="s">
        <v>1030</v>
      </c>
      <c r="E279" s="1" t="s">
        <v>1031</v>
      </c>
      <c r="F279" s="13" t="s">
        <v>140</v>
      </c>
      <c r="G279" s="21" t="s">
        <v>1104</v>
      </c>
      <c r="H279" s="21" t="s">
        <v>1049</v>
      </c>
      <c r="I279" s="4" t="s">
        <v>89</v>
      </c>
      <c r="J279" s="4" t="s">
        <v>89</v>
      </c>
      <c r="K279" s="4" t="s">
        <v>89</v>
      </c>
      <c r="L279" s="4" t="s">
        <v>1034</v>
      </c>
      <c r="M279" s="21">
        <v>21.75</v>
      </c>
      <c r="N279" s="34" t="s">
        <v>7</v>
      </c>
      <c r="O279" s="34" t="str">
        <f>IF(ISNUMBER(SEARCH("IMS",PMS_Catalog[[#This Row],[WU Id]])),"IMS",PMS_Catalog[[#This Row],[UNIQUE PRICE per hour]]*PMS_Catalog[[#This Row],[PMS Effort (Hours)]])</f>
        <v>IMS</v>
      </c>
      <c r="P279" s="34">
        <v>7</v>
      </c>
      <c r="Q279" s="53" t="s">
        <v>88</v>
      </c>
      <c r="R279" s="1" t="s">
        <v>89</v>
      </c>
      <c r="S279" s="1"/>
      <c r="T279" s="31">
        <v>45086</v>
      </c>
      <c r="U279" s="1" t="s">
        <v>278</v>
      </c>
      <c r="V279" s="31">
        <v>45086</v>
      </c>
      <c r="W279" s="1">
        <f t="shared" ca="1" si="8"/>
        <v>3</v>
      </c>
      <c r="X279" s="1" cm="1">
        <f t="array" aca="1" ref="X279" ca="1">_xlfn.IFS(W278=1,8%,W278=2,10%,W278&gt;2,10%,W278&lt;1,0)</f>
        <v>0.1</v>
      </c>
      <c r="Y279" s="35" t="str">
        <f t="shared" si="9"/>
        <v>IMS</v>
      </c>
      <c r="Z279" s="40"/>
      <c r="AA279" s="1" t="str">
        <f>LEFT(PMS_Catalog[[#This Row],[WU Id]],3)</f>
        <v>IMS</v>
      </c>
    </row>
    <row r="280" spans="1:27" ht="39" customHeight="1">
      <c r="A280" s="4" t="s">
        <v>1105</v>
      </c>
      <c r="B280" s="4" t="s">
        <v>78</v>
      </c>
      <c r="C280" s="4" t="s">
        <v>901</v>
      </c>
      <c r="D280" s="4" t="s">
        <v>930</v>
      </c>
      <c r="E280" s="4" t="s">
        <v>930</v>
      </c>
      <c r="F280" s="13" t="s">
        <v>81</v>
      </c>
      <c r="G280" s="21" t="s">
        <v>1106</v>
      </c>
      <c r="H280" s="21" t="s">
        <v>1107</v>
      </c>
      <c r="I280" s="1" t="s">
        <v>89</v>
      </c>
      <c r="J280" s="1" t="s">
        <v>89</v>
      </c>
      <c r="K280" s="1" t="s">
        <v>89</v>
      </c>
      <c r="L280" s="1" t="s">
        <v>1088</v>
      </c>
      <c r="M280" s="2">
        <v>21.75</v>
      </c>
      <c r="N280" s="34" t="s">
        <v>7</v>
      </c>
      <c r="O280" s="34" t="str">
        <f>IF(ISNUMBER(SEARCH("IMS",PMS_Catalog[[#This Row],[WU Id]])),"IMS",PMS_Catalog[[#This Row],[UNIQUE PRICE per hour]]*PMS_Catalog[[#This Row],[PMS Effort (Hours)]])</f>
        <v>IMS</v>
      </c>
      <c r="P280" s="34">
        <v>3</v>
      </c>
      <c r="Q280" s="53" t="s">
        <v>88</v>
      </c>
      <c r="R280" s="1" t="s">
        <v>89</v>
      </c>
      <c r="S280" s="1"/>
      <c r="T280" s="31">
        <v>45086</v>
      </c>
      <c r="U280" s="1" t="s">
        <v>278</v>
      </c>
      <c r="V280" s="31">
        <v>45086</v>
      </c>
      <c r="W280" s="1">
        <f t="shared" ca="1" si="8"/>
        <v>3</v>
      </c>
      <c r="X280" s="1" cm="1">
        <f t="array" aca="1" ref="X280" ca="1">_xlfn.IFS(W279=1,8%,W279=2,10%,W279&gt;2,10%,W279&lt;1,0)</f>
        <v>0.1</v>
      </c>
      <c r="Y280" s="35" t="str">
        <f t="shared" si="9"/>
        <v>IMS</v>
      </c>
      <c r="Z280" s="40"/>
      <c r="AA280" s="1" t="str">
        <f>LEFT(PMS_Catalog[[#This Row],[WU Id]],3)</f>
        <v>IMS</v>
      </c>
    </row>
    <row r="281" spans="1:27" ht="39" customHeight="1">
      <c r="A281" s="4" t="s">
        <v>1108</v>
      </c>
      <c r="B281" s="4" t="s">
        <v>78</v>
      </c>
      <c r="C281" s="4" t="s">
        <v>901</v>
      </c>
      <c r="D281" s="4" t="s">
        <v>935</v>
      </c>
      <c r="E281" s="4" t="s">
        <v>935</v>
      </c>
      <c r="F281" s="12" t="s">
        <v>192</v>
      </c>
      <c r="G281" s="21" t="s">
        <v>1109</v>
      </c>
      <c r="H281" s="21" t="s">
        <v>1110</v>
      </c>
      <c r="I281" s="1" t="s">
        <v>1111</v>
      </c>
      <c r="J281" s="1" t="s">
        <v>257</v>
      </c>
      <c r="K281" s="1" t="s">
        <v>89</v>
      </c>
      <c r="L281" s="1" t="s">
        <v>522</v>
      </c>
      <c r="M281" s="2">
        <v>21.75</v>
      </c>
      <c r="N281" s="30">
        <v>1</v>
      </c>
      <c r="O281" s="30">
        <f>IF(ISNUMBER(SEARCH("IMS",PMS_Catalog[[#This Row],[WU Id]])),"IMS",PMS_Catalog[[#This Row],[UNIQUE PRICE per hour]]*PMS_Catalog[[#This Row],[PMS Effort (Hours)]])</f>
        <v>21.75</v>
      </c>
      <c r="P281" s="30">
        <v>3</v>
      </c>
      <c r="Q281" s="53" t="s">
        <v>88</v>
      </c>
      <c r="R281" s="1" t="s">
        <v>89</v>
      </c>
      <c r="S281" s="1"/>
      <c r="T281" s="31">
        <v>45086</v>
      </c>
      <c r="U281" s="1" t="s">
        <v>278</v>
      </c>
      <c r="V281" s="31">
        <v>45086</v>
      </c>
      <c r="W281" s="1">
        <f t="shared" ca="1" si="8"/>
        <v>3</v>
      </c>
      <c r="X281" s="1" cm="1">
        <f t="array" aca="1" ref="X281" ca="1">_xlfn.IFS(W280=1,8%,W280=2,10%,W280&gt;2,10%,W280&lt;1,0)</f>
        <v>0.1</v>
      </c>
      <c r="Y281" s="35">
        <f t="shared" ca="1" si="9"/>
        <v>19.574999999999999</v>
      </c>
      <c r="Z281" s="40"/>
      <c r="AA281" s="1" t="str">
        <f>LEFT(PMS_Catalog[[#This Row],[WU Id]],3)</f>
        <v>PMS</v>
      </c>
    </row>
    <row r="282" spans="1:27" ht="39" customHeight="1">
      <c r="A282" s="4" t="s">
        <v>1112</v>
      </c>
      <c r="B282" s="4" t="s">
        <v>78</v>
      </c>
      <c r="C282" s="4" t="s">
        <v>901</v>
      </c>
      <c r="D282" s="4" t="s">
        <v>930</v>
      </c>
      <c r="E282" s="4" t="s">
        <v>930</v>
      </c>
      <c r="F282" s="13" t="s">
        <v>81</v>
      </c>
      <c r="G282" s="21" t="s">
        <v>1113</v>
      </c>
      <c r="H282" s="21" t="s">
        <v>1107</v>
      </c>
      <c r="I282" s="1" t="s">
        <v>89</v>
      </c>
      <c r="J282" s="1" t="s">
        <v>89</v>
      </c>
      <c r="K282" s="1" t="s">
        <v>89</v>
      </c>
      <c r="L282" s="1" t="s">
        <v>1063</v>
      </c>
      <c r="M282" s="2">
        <v>21.75</v>
      </c>
      <c r="N282" s="34" t="s">
        <v>7</v>
      </c>
      <c r="O282" s="34" t="str">
        <f>IF(ISNUMBER(SEARCH("IMS",PMS_Catalog[[#This Row],[WU Id]])),"IMS",PMS_Catalog[[#This Row],[UNIQUE PRICE per hour]]*PMS_Catalog[[#This Row],[PMS Effort (Hours)]])</f>
        <v>IMS</v>
      </c>
      <c r="P282" s="34">
        <v>3</v>
      </c>
      <c r="Q282" s="53" t="s">
        <v>88</v>
      </c>
      <c r="R282" s="1" t="s">
        <v>89</v>
      </c>
      <c r="S282" s="1"/>
      <c r="T282" s="31">
        <v>45086</v>
      </c>
      <c r="U282" s="1" t="s">
        <v>278</v>
      </c>
      <c r="V282" s="31">
        <v>45086</v>
      </c>
      <c r="W282" s="1">
        <f t="shared" ca="1" si="8"/>
        <v>3</v>
      </c>
      <c r="X282" s="1" cm="1">
        <f t="array" aca="1" ref="X282" ca="1">_xlfn.IFS(W281=1,8%,W281=2,10%,W281&gt;2,10%,W281&lt;1,0)</f>
        <v>0.1</v>
      </c>
      <c r="Y282" s="35" t="str">
        <f t="shared" si="9"/>
        <v>IMS</v>
      </c>
      <c r="Z282" s="40"/>
      <c r="AA282" s="1" t="str">
        <f>LEFT(PMS_Catalog[[#This Row],[WU Id]],3)</f>
        <v>IMS</v>
      </c>
    </row>
    <row r="283" spans="1:27" ht="39" customHeight="1">
      <c r="A283" s="4" t="s">
        <v>1114</v>
      </c>
      <c r="B283" s="4" t="s">
        <v>78</v>
      </c>
      <c r="C283" s="4" t="s">
        <v>901</v>
      </c>
      <c r="D283" s="4" t="s">
        <v>930</v>
      </c>
      <c r="E283" s="4" t="s">
        <v>930</v>
      </c>
      <c r="F283" s="13" t="s">
        <v>81</v>
      </c>
      <c r="G283" s="21" t="s">
        <v>1115</v>
      </c>
      <c r="H283" s="21" t="s">
        <v>1062</v>
      </c>
      <c r="I283" s="4" t="s">
        <v>89</v>
      </c>
      <c r="J283" s="4" t="s">
        <v>89</v>
      </c>
      <c r="K283" s="4" t="s">
        <v>89</v>
      </c>
      <c r="L283" s="4" t="s">
        <v>1063</v>
      </c>
      <c r="M283" s="21">
        <v>21.75</v>
      </c>
      <c r="N283" s="34" t="s">
        <v>7</v>
      </c>
      <c r="O283" s="34" t="str">
        <f>IF(ISNUMBER(SEARCH("IMS",PMS_Catalog[[#This Row],[WU Id]])),"IMS",PMS_Catalog[[#This Row],[UNIQUE PRICE per hour]]*PMS_Catalog[[#This Row],[PMS Effort (Hours)]])</f>
        <v>IMS</v>
      </c>
      <c r="P283" s="34">
        <v>3</v>
      </c>
      <c r="Q283" s="53" t="s">
        <v>88</v>
      </c>
      <c r="R283" s="1" t="s">
        <v>89</v>
      </c>
      <c r="S283" s="1"/>
      <c r="T283" s="31">
        <v>45086</v>
      </c>
      <c r="U283" s="1" t="s">
        <v>278</v>
      </c>
      <c r="V283" s="31">
        <v>45086</v>
      </c>
      <c r="W283" s="1">
        <f t="shared" ca="1" si="8"/>
        <v>3</v>
      </c>
      <c r="X283" s="1" cm="1">
        <f t="array" aca="1" ref="X283" ca="1">_xlfn.IFS(W282=1,8%,W282=2,10%,W282&gt;2,10%,W282&lt;1,0)</f>
        <v>0.1</v>
      </c>
      <c r="Y283" s="35" t="str">
        <f t="shared" si="9"/>
        <v>IMS</v>
      </c>
      <c r="Z283" s="40"/>
      <c r="AA283" s="1" t="str">
        <f>LEFT(PMS_Catalog[[#This Row],[WU Id]],3)</f>
        <v>IMS</v>
      </c>
    </row>
    <row r="284" spans="1:27" ht="39" customHeight="1">
      <c r="A284" s="4" t="s">
        <v>1116</v>
      </c>
      <c r="B284" s="4" t="s">
        <v>78</v>
      </c>
      <c r="C284" s="4" t="s">
        <v>901</v>
      </c>
      <c r="D284" s="4" t="s">
        <v>930</v>
      </c>
      <c r="E284" s="4" t="s">
        <v>930</v>
      </c>
      <c r="F284" s="13" t="s">
        <v>81</v>
      </c>
      <c r="G284" s="21" t="s">
        <v>1117</v>
      </c>
      <c r="H284" s="21" t="s">
        <v>1118</v>
      </c>
      <c r="I284" s="1" t="s">
        <v>89</v>
      </c>
      <c r="J284" s="1" t="s">
        <v>89</v>
      </c>
      <c r="K284" s="1" t="s">
        <v>89</v>
      </c>
      <c r="L284" s="1" t="s">
        <v>1063</v>
      </c>
      <c r="M284" s="2">
        <v>21.75</v>
      </c>
      <c r="N284" s="34" t="s">
        <v>7</v>
      </c>
      <c r="O284" s="34" t="str">
        <f>IF(ISNUMBER(SEARCH("IMS",PMS_Catalog[[#This Row],[WU Id]])),"IMS",PMS_Catalog[[#This Row],[UNIQUE PRICE per hour]]*PMS_Catalog[[#This Row],[PMS Effort (Hours)]])</f>
        <v>IMS</v>
      </c>
      <c r="P284" s="34">
        <v>3</v>
      </c>
      <c r="Q284" s="53" t="s">
        <v>88</v>
      </c>
      <c r="R284" s="1" t="s">
        <v>89</v>
      </c>
      <c r="S284" s="1"/>
      <c r="T284" s="31">
        <v>45086</v>
      </c>
      <c r="U284" s="1" t="s">
        <v>278</v>
      </c>
      <c r="V284" s="31">
        <v>45086</v>
      </c>
      <c r="W284" s="1">
        <f t="shared" ca="1" si="8"/>
        <v>3</v>
      </c>
      <c r="X284" s="1" cm="1">
        <f t="array" aca="1" ref="X284" ca="1">_xlfn.IFS(W283=1,8%,W283=2,10%,W283&gt;2,10%,W283&lt;1,0)</f>
        <v>0.1</v>
      </c>
      <c r="Y284" s="35" t="str">
        <f t="shared" si="9"/>
        <v>IMS</v>
      </c>
      <c r="Z284" s="40"/>
      <c r="AA284" s="1" t="str">
        <f>LEFT(PMS_Catalog[[#This Row],[WU Id]],3)</f>
        <v>IMS</v>
      </c>
    </row>
    <row r="285" spans="1:27" ht="39" customHeight="1">
      <c r="A285" s="4" t="s">
        <v>1119</v>
      </c>
      <c r="B285" s="4" t="s">
        <v>78</v>
      </c>
      <c r="C285" s="4" t="s">
        <v>901</v>
      </c>
      <c r="D285" s="4" t="s">
        <v>935</v>
      </c>
      <c r="E285" s="4" t="s">
        <v>935</v>
      </c>
      <c r="F285" s="12" t="s">
        <v>192</v>
      </c>
      <c r="G285" s="21" t="s">
        <v>1120</v>
      </c>
      <c r="H285" s="21" t="s">
        <v>1121</v>
      </c>
      <c r="I285" s="1" t="s">
        <v>1122</v>
      </c>
      <c r="J285" s="1" t="s">
        <v>257</v>
      </c>
      <c r="K285" s="1" t="s">
        <v>89</v>
      </c>
      <c r="L285" s="1" t="s">
        <v>522</v>
      </c>
      <c r="M285" s="2">
        <v>21.75</v>
      </c>
      <c r="N285" s="30">
        <v>4</v>
      </c>
      <c r="O285" s="30">
        <f>IF(ISNUMBER(SEARCH("IMS",PMS_Catalog[[#This Row],[WU Id]])),"IMS",PMS_Catalog[[#This Row],[UNIQUE PRICE per hour]]*PMS_Catalog[[#This Row],[PMS Effort (Hours)]])</f>
        <v>87</v>
      </c>
      <c r="P285" s="30">
        <v>5</v>
      </c>
      <c r="Q285" s="53" t="s">
        <v>88</v>
      </c>
      <c r="R285" s="1" t="s">
        <v>89</v>
      </c>
      <c r="S285" s="1"/>
      <c r="T285" s="31">
        <v>45086</v>
      </c>
      <c r="U285" s="1" t="s">
        <v>278</v>
      </c>
      <c r="V285" s="31">
        <v>45086</v>
      </c>
      <c r="W285" s="1">
        <f t="shared" ca="1" si="8"/>
        <v>3</v>
      </c>
      <c r="X285" s="1" cm="1">
        <f t="array" aca="1" ref="X285" ca="1">_xlfn.IFS(W284=1,8%,W284=2,10%,W284&gt;2,10%,W284&lt;1,0)</f>
        <v>0.1</v>
      </c>
      <c r="Y285" s="35">
        <f t="shared" ca="1" si="9"/>
        <v>78.3</v>
      </c>
      <c r="Z285" s="40"/>
      <c r="AA285" s="1" t="str">
        <f>LEFT(PMS_Catalog[[#This Row],[WU Id]],3)</f>
        <v>PMS</v>
      </c>
    </row>
    <row r="286" spans="1:27" ht="39" customHeight="1">
      <c r="A286" s="1" t="s">
        <v>1123</v>
      </c>
      <c r="B286" s="1" t="s">
        <v>78</v>
      </c>
      <c r="C286" s="1" t="s">
        <v>901</v>
      </c>
      <c r="D286" s="1" t="s">
        <v>935</v>
      </c>
      <c r="E286" s="1" t="s">
        <v>935</v>
      </c>
      <c r="F286" s="12" t="s">
        <v>192</v>
      </c>
      <c r="G286" s="21" t="s">
        <v>1124</v>
      </c>
      <c r="H286" s="21" t="s">
        <v>1125</v>
      </c>
      <c r="I286" s="1" t="s">
        <v>1126</v>
      </c>
      <c r="J286" s="1" t="s">
        <v>257</v>
      </c>
      <c r="K286" s="1" t="s">
        <v>89</v>
      </c>
      <c r="L286" s="1" t="s">
        <v>522</v>
      </c>
      <c r="M286" s="2">
        <v>21.75</v>
      </c>
      <c r="N286" s="30">
        <v>1</v>
      </c>
      <c r="O286" s="30">
        <f>IF(ISNUMBER(SEARCH("IMS",PMS_Catalog[[#This Row],[WU Id]])),"IMS",PMS_Catalog[[#This Row],[UNIQUE PRICE per hour]]*PMS_Catalog[[#This Row],[PMS Effort (Hours)]])</f>
        <v>21.75</v>
      </c>
      <c r="P286" s="30">
        <v>3</v>
      </c>
      <c r="Q286" s="53" t="s">
        <v>88</v>
      </c>
      <c r="R286" s="1" t="s">
        <v>89</v>
      </c>
      <c r="S286" s="1"/>
      <c r="T286" s="31">
        <v>45086</v>
      </c>
      <c r="U286" s="1" t="s">
        <v>278</v>
      </c>
      <c r="V286" s="31">
        <v>45086</v>
      </c>
      <c r="W286" s="1">
        <f t="shared" ca="1" si="8"/>
        <v>3</v>
      </c>
      <c r="X286" s="1" cm="1">
        <f t="array" aca="1" ref="X286" ca="1">_xlfn.IFS(W285=1,8%,W285=2,10%,W285&gt;2,10%,W285&lt;1,0)</f>
        <v>0.1</v>
      </c>
      <c r="Y286" s="35">
        <f t="shared" ca="1" si="9"/>
        <v>19.574999999999999</v>
      </c>
      <c r="Z286" s="40"/>
      <c r="AA286" s="1" t="str">
        <f>LEFT(PMS_Catalog[[#This Row],[WU Id]],3)</f>
        <v>PMS</v>
      </c>
    </row>
    <row r="287" spans="1:27" ht="39" customHeight="1">
      <c r="A287" s="4" t="s">
        <v>1127</v>
      </c>
      <c r="B287" s="4" t="s">
        <v>78</v>
      </c>
      <c r="C287" s="4" t="s">
        <v>901</v>
      </c>
      <c r="D287" s="4" t="s">
        <v>930</v>
      </c>
      <c r="E287" s="4" t="s">
        <v>930</v>
      </c>
      <c r="F287" s="13" t="s">
        <v>81</v>
      </c>
      <c r="G287" s="21" t="s">
        <v>1128</v>
      </c>
      <c r="H287" s="21" t="s">
        <v>1091</v>
      </c>
      <c r="I287" s="1" t="s">
        <v>89</v>
      </c>
      <c r="J287" s="1" t="s">
        <v>89</v>
      </c>
      <c r="K287" s="1" t="s">
        <v>89</v>
      </c>
      <c r="L287" s="1" t="s">
        <v>1063</v>
      </c>
      <c r="M287" s="2">
        <v>21.75</v>
      </c>
      <c r="N287" s="34" t="s">
        <v>7</v>
      </c>
      <c r="O287" s="34" t="str">
        <f>IF(ISNUMBER(SEARCH("IMS",PMS_Catalog[[#This Row],[WU Id]])),"IMS",PMS_Catalog[[#This Row],[UNIQUE PRICE per hour]]*PMS_Catalog[[#This Row],[PMS Effort (Hours)]])</f>
        <v>IMS</v>
      </c>
      <c r="P287" s="34">
        <v>3</v>
      </c>
      <c r="Q287" s="53" t="s">
        <v>88</v>
      </c>
      <c r="R287" s="1" t="s">
        <v>89</v>
      </c>
      <c r="S287" s="1"/>
      <c r="T287" s="31">
        <v>45086</v>
      </c>
      <c r="U287" s="1" t="s">
        <v>278</v>
      </c>
      <c r="V287" s="31">
        <v>45086</v>
      </c>
      <c r="W287" s="1">
        <f t="shared" ca="1" si="8"/>
        <v>3</v>
      </c>
      <c r="X287" s="1" cm="1">
        <f t="array" aca="1" ref="X287" ca="1">_xlfn.IFS(W286=1,8%,W286=2,10%,W286&gt;2,10%,W286&lt;1,0)</f>
        <v>0.1</v>
      </c>
      <c r="Y287" s="35" t="str">
        <f t="shared" si="9"/>
        <v>IMS</v>
      </c>
      <c r="Z287" s="40"/>
      <c r="AA287" s="1" t="str">
        <f>LEFT(PMS_Catalog[[#This Row],[WU Id]],3)</f>
        <v>IMS</v>
      </c>
    </row>
    <row r="288" spans="1:27" ht="39" customHeight="1">
      <c r="A288" s="4" t="s">
        <v>1129</v>
      </c>
      <c r="B288" s="4" t="s">
        <v>78</v>
      </c>
      <c r="C288" s="4" t="s">
        <v>901</v>
      </c>
      <c r="D288" s="4" t="s">
        <v>935</v>
      </c>
      <c r="E288" s="4" t="s">
        <v>935</v>
      </c>
      <c r="F288" s="14" t="s">
        <v>81</v>
      </c>
      <c r="G288" s="21" t="s">
        <v>1130</v>
      </c>
      <c r="H288" s="21" t="s">
        <v>1131</v>
      </c>
      <c r="I288" s="1" t="s">
        <v>1130</v>
      </c>
      <c r="J288" s="1" t="s">
        <v>257</v>
      </c>
      <c r="K288" s="1" t="s">
        <v>89</v>
      </c>
      <c r="L288" s="1" t="s">
        <v>522</v>
      </c>
      <c r="M288" s="2">
        <v>21.75</v>
      </c>
      <c r="N288" s="34" t="s">
        <v>7</v>
      </c>
      <c r="O288" s="34" t="str">
        <f>IF(ISNUMBER(SEARCH("IMS",PMS_Catalog[[#This Row],[WU Id]])),"IMS",PMS_Catalog[[#This Row],[UNIQUE PRICE per hour]]*PMS_Catalog[[#This Row],[PMS Effort (Hours)]])</f>
        <v>IMS</v>
      </c>
      <c r="P288" s="34">
        <v>3</v>
      </c>
      <c r="Q288" s="53" t="s">
        <v>88</v>
      </c>
      <c r="R288" s="1" t="s">
        <v>89</v>
      </c>
      <c r="S288" s="1"/>
      <c r="T288" s="31">
        <v>45086</v>
      </c>
      <c r="U288" s="1" t="s">
        <v>278</v>
      </c>
      <c r="V288" s="31">
        <v>45086</v>
      </c>
      <c r="W288" s="1">
        <f t="shared" ca="1" si="8"/>
        <v>3</v>
      </c>
      <c r="X288" s="1" cm="1">
        <f t="array" aca="1" ref="X288" ca="1">_xlfn.IFS(W287=1,8%,W287=2,10%,W287&gt;2,10%,W287&lt;1,0)</f>
        <v>0.1</v>
      </c>
      <c r="Y288" s="35" t="str">
        <f t="shared" si="9"/>
        <v>IMS</v>
      </c>
      <c r="Z288" s="40"/>
      <c r="AA288" s="1" t="str">
        <f>LEFT(PMS_Catalog[[#This Row],[WU Id]],3)</f>
        <v>IMS</v>
      </c>
    </row>
    <row r="289" spans="1:27" ht="39" customHeight="1">
      <c r="A289" s="4" t="s">
        <v>1132</v>
      </c>
      <c r="B289" s="4" t="s">
        <v>78</v>
      </c>
      <c r="C289" s="4" t="s">
        <v>901</v>
      </c>
      <c r="D289" s="4" t="s">
        <v>935</v>
      </c>
      <c r="E289" s="4" t="s">
        <v>935</v>
      </c>
      <c r="F289" s="14" t="s">
        <v>81</v>
      </c>
      <c r="G289" s="21" t="s">
        <v>1133</v>
      </c>
      <c r="H289" s="21" t="s">
        <v>1134</v>
      </c>
      <c r="I289" s="1" t="s">
        <v>89</v>
      </c>
      <c r="J289" s="1" t="s">
        <v>89</v>
      </c>
      <c r="K289" s="1" t="s">
        <v>89</v>
      </c>
      <c r="L289" s="1" t="s">
        <v>522</v>
      </c>
      <c r="M289" s="2">
        <v>21.75</v>
      </c>
      <c r="N289" s="34" t="s">
        <v>7</v>
      </c>
      <c r="O289" s="34" t="str">
        <f>IF(ISNUMBER(SEARCH("IMS",PMS_Catalog[[#This Row],[WU Id]])),"IMS",PMS_Catalog[[#This Row],[UNIQUE PRICE per hour]]*PMS_Catalog[[#This Row],[PMS Effort (Hours)]])</f>
        <v>IMS</v>
      </c>
      <c r="P289" s="34">
        <v>3</v>
      </c>
      <c r="Q289" s="53" t="s">
        <v>88</v>
      </c>
      <c r="R289" s="1" t="s">
        <v>89</v>
      </c>
      <c r="S289" s="1"/>
      <c r="T289" s="31">
        <v>45086</v>
      </c>
      <c r="U289" s="1" t="s">
        <v>278</v>
      </c>
      <c r="V289" s="31">
        <v>45086</v>
      </c>
      <c r="W289" s="1">
        <f t="shared" ca="1" si="8"/>
        <v>3</v>
      </c>
      <c r="X289" s="1" cm="1">
        <f t="array" aca="1" ref="X289" ca="1">_xlfn.IFS(W288=1,8%,W288=2,10%,W288&gt;2,10%,W288&lt;1,0)</f>
        <v>0.1</v>
      </c>
      <c r="Y289" s="35" t="str">
        <f t="shared" si="9"/>
        <v>IMS</v>
      </c>
      <c r="Z289" s="40"/>
      <c r="AA289" s="1" t="str">
        <f>LEFT(PMS_Catalog[[#This Row],[WU Id]],3)</f>
        <v>IMS</v>
      </c>
    </row>
    <row r="290" spans="1:27" ht="39" customHeight="1">
      <c r="A290" s="4" t="s">
        <v>1135</v>
      </c>
      <c r="B290" s="4" t="s">
        <v>78</v>
      </c>
      <c r="C290" s="4" t="s">
        <v>901</v>
      </c>
      <c r="D290" s="4" t="s">
        <v>1136</v>
      </c>
      <c r="E290" s="4" t="s">
        <v>935</v>
      </c>
      <c r="F290" s="14" t="s">
        <v>81</v>
      </c>
      <c r="G290" s="21" t="s">
        <v>1137</v>
      </c>
      <c r="H290" s="21" t="s">
        <v>1138</v>
      </c>
      <c r="I290" s="1" t="s">
        <v>89</v>
      </c>
      <c r="J290" s="1" t="s">
        <v>89</v>
      </c>
      <c r="K290" s="1" t="s">
        <v>89</v>
      </c>
      <c r="L290" s="1" t="s">
        <v>533</v>
      </c>
      <c r="M290" s="2">
        <v>21.75</v>
      </c>
      <c r="N290" s="34" t="s">
        <v>1139</v>
      </c>
      <c r="O290" s="34" t="str">
        <f>IF(ISNUMBER(SEARCH("IMS",PMS_Catalog[[#This Row],[WU Id]])),"IMS",PMS_Catalog[[#This Row],[UNIQUE PRICE per hour]]*PMS_Catalog[[#This Row],[PMS Effort (Hours)]])</f>
        <v>IMS</v>
      </c>
      <c r="P290" s="34">
        <v>7</v>
      </c>
      <c r="Q290" s="53" t="s">
        <v>88</v>
      </c>
      <c r="R290" s="1" t="s">
        <v>89</v>
      </c>
      <c r="S290" s="1"/>
      <c r="T290" s="31">
        <v>45184</v>
      </c>
      <c r="U290" s="1" t="s">
        <v>1140</v>
      </c>
      <c r="V290" s="31">
        <v>45184</v>
      </c>
      <c r="W290" s="1">
        <f t="shared" ca="1" si="8"/>
        <v>2</v>
      </c>
      <c r="X290" s="1" cm="1">
        <f t="array" aca="1" ref="X290" ca="1">_xlfn.IFS(W289=1,8%,W289=2,10%,W289&gt;2,10%,W289&lt;1,0)</f>
        <v>0.1</v>
      </c>
      <c r="Y290" s="35" t="str">
        <f t="shared" si="9"/>
        <v>IMS</v>
      </c>
      <c r="Z290" s="40"/>
      <c r="AA290" s="1" t="str">
        <f>LEFT(PMS_Catalog[[#This Row],[WU Id]],3)</f>
        <v>IMS</v>
      </c>
    </row>
    <row r="291" spans="1:27" ht="39" customHeight="1">
      <c r="A291" s="4" t="s">
        <v>1141</v>
      </c>
      <c r="B291" s="4" t="s">
        <v>78</v>
      </c>
      <c r="C291" s="4" t="s">
        <v>92</v>
      </c>
      <c r="D291" s="4" t="s">
        <v>138</v>
      </c>
      <c r="E291" s="4" t="s">
        <v>138</v>
      </c>
      <c r="F291" s="11" t="s">
        <v>192</v>
      </c>
      <c r="G291" s="21" t="s">
        <v>1142</v>
      </c>
      <c r="H291" s="21" t="s">
        <v>1143</v>
      </c>
      <c r="I291" s="1" t="s">
        <v>89</v>
      </c>
      <c r="J291" s="1" t="s">
        <v>89</v>
      </c>
      <c r="K291" s="1" t="s">
        <v>89</v>
      </c>
      <c r="L291" s="1" t="s">
        <v>518</v>
      </c>
      <c r="M291" s="2">
        <v>21.75</v>
      </c>
      <c r="N291" s="30">
        <v>24</v>
      </c>
      <c r="O291" s="30">
        <f>IF(ISNUMBER(SEARCH("IMS",PMS_Catalog[[#This Row],[WU Id]])),"IMS",PMS_Catalog[[#This Row],[UNIQUE PRICE per hour]]*PMS_Catalog[[#This Row],[PMS Effort (Hours)]])</f>
        <v>522</v>
      </c>
      <c r="P291" s="30">
        <v>15</v>
      </c>
      <c r="Q291" s="53" t="s">
        <v>88</v>
      </c>
      <c r="R291" s="1" t="s">
        <v>89</v>
      </c>
      <c r="S291" s="1"/>
      <c r="T291" s="31">
        <v>45086</v>
      </c>
      <c r="U291" s="1" t="s">
        <v>278</v>
      </c>
      <c r="V291" s="31">
        <v>45086</v>
      </c>
      <c r="W291" s="1">
        <f t="shared" ca="1" si="8"/>
        <v>3</v>
      </c>
      <c r="X291" s="1" cm="1">
        <f t="array" aca="1" ref="X291" ca="1">_xlfn.IFS(W290=1,8%,W290=2,10%,W290&gt;2,10%,W290&lt;1,0)</f>
        <v>0.1</v>
      </c>
      <c r="Y291" s="35">
        <f t="shared" ca="1" si="9"/>
        <v>469.8</v>
      </c>
      <c r="Z291" s="40"/>
      <c r="AA291" s="1" t="str">
        <f>LEFT(PMS_Catalog[[#This Row],[WU Id]],3)</f>
        <v>PMS</v>
      </c>
    </row>
    <row r="292" spans="1:27" ht="39" customHeight="1">
      <c r="A292" s="1" t="s">
        <v>1144</v>
      </c>
      <c r="B292" s="1" t="s">
        <v>78</v>
      </c>
      <c r="C292" s="1" t="s">
        <v>92</v>
      </c>
      <c r="D292" s="1" t="s">
        <v>138</v>
      </c>
      <c r="E292" s="1" t="s">
        <v>138</v>
      </c>
      <c r="F292" s="11" t="s">
        <v>192</v>
      </c>
      <c r="G292" s="21" t="s">
        <v>1145</v>
      </c>
      <c r="H292" s="21" t="s">
        <v>1146</v>
      </c>
      <c r="I292" s="1" t="s">
        <v>89</v>
      </c>
      <c r="J292" s="1" t="s">
        <v>89</v>
      </c>
      <c r="K292" s="1" t="s">
        <v>89</v>
      </c>
      <c r="L292" s="1" t="s">
        <v>1147</v>
      </c>
      <c r="M292" s="2">
        <v>21.75</v>
      </c>
      <c r="N292" s="30">
        <v>33.75</v>
      </c>
      <c r="O292" s="30">
        <f>IF(ISNUMBER(SEARCH("IMS",PMS_Catalog[[#This Row],[WU Id]])),"IMS",PMS_Catalog[[#This Row],[UNIQUE PRICE per hour]]*PMS_Catalog[[#This Row],[PMS Effort (Hours)]])</f>
        <v>734.0625</v>
      </c>
      <c r="P292" s="30">
        <v>20</v>
      </c>
      <c r="Q292" s="53" t="s">
        <v>88</v>
      </c>
      <c r="R292" s="1" t="s">
        <v>89</v>
      </c>
      <c r="S292" s="1"/>
      <c r="T292" s="31">
        <v>45086</v>
      </c>
      <c r="U292" s="1" t="s">
        <v>278</v>
      </c>
      <c r="V292" s="31">
        <v>45086</v>
      </c>
      <c r="W292" s="1">
        <f t="shared" ca="1" si="8"/>
        <v>3</v>
      </c>
      <c r="X292" s="1" cm="1">
        <f t="array" aca="1" ref="X292" ca="1">_xlfn.IFS(W291=1,8%,W291=2,10%,W291&gt;2,10%,W291&lt;1,0)</f>
        <v>0.1</v>
      </c>
      <c r="Y292" s="35">
        <f t="shared" ca="1" si="9"/>
        <v>660.65625</v>
      </c>
      <c r="Z292" s="40"/>
      <c r="AA292" s="1" t="str">
        <f>LEFT(PMS_Catalog[[#This Row],[WU Id]],3)</f>
        <v>PMS</v>
      </c>
    </row>
    <row r="293" spans="1:27" ht="39" customHeight="1">
      <c r="A293" s="4" t="s">
        <v>1148</v>
      </c>
      <c r="B293" s="4" t="s">
        <v>78</v>
      </c>
      <c r="C293" s="4" t="s">
        <v>92</v>
      </c>
      <c r="D293" s="4" t="s">
        <v>191</v>
      </c>
      <c r="E293" s="4" t="s">
        <v>191</v>
      </c>
      <c r="F293" s="11" t="s">
        <v>192</v>
      </c>
      <c r="G293" s="21" t="s">
        <v>1149</v>
      </c>
      <c r="H293" s="21" t="s">
        <v>1150</v>
      </c>
      <c r="I293" s="1" t="s">
        <v>89</v>
      </c>
      <c r="J293" s="1" t="s">
        <v>89</v>
      </c>
      <c r="K293" s="1" t="s">
        <v>89</v>
      </c>
      <c r="L293" s="1" t="s">
        <v>259</v>
      </c>
      <c r="M293" s="2">
        <v>21.75</v>
      </c>
      <c r="N293" s="30">
        <v>4</v>
      </c>
      <c r="O293" s="30">
        <f>IF(ISNUMBER(SEARCH("IMS",PMS_Catalog[[#This Row],[WU Id]])),"IMS",PMS_Catalog[[#This Row],[UNIQUE PRICE per hour]]*PMS_Catalog[[#This Row],[PMS Effort (Hours)]])</f>
        <v>87</v>
      </c>
      <c r="P293" s="30">
        <v>3</v>
      </c>
      <c r="Q293" s="53" t="s">
        <v>88</v>
      </c>
      <c r="R293" s="1" t="s">
        <v>89</v>
      </c>
      <c r="S293" s="1"/>
      <c r="T293" s="31">
        <v>45086</v>
      </c>
      <c r="U293" s="1" t="s">
        <v>278</v>
      </c>
      <c r="V293" s="31">
        <v>45086</v>
      </c>
      <c r="W293" s="1">
        <f t="shared" ca="1" si="8"/>
        <v>3</v>
      </c>
      <c r="X293" s="1" cm="1">
        <f t="array" aca="1" ref="X293" ca="1">_xlfn.IFS(W292=1,8%,W292=2,10%,W292&gt;2,10%,W292&lt;1,0)</f>
        <v>0.1</v>
      </c>
      <c r="Y293" s="35">
        <f t="shared" ca="1" si="9"/>
        <v>78.3</v>
      </c>
      <c r="Z293" s="40"/>
      <c r="AA293" s="1" t="str">
        <f>LEFT(PMS_Catalog[[#This Row],[WU Id]],3)</f>
        <v>PMS</v>
      </c>
    </row>
    <row r="294" spans="1:27" ht="39" customHeight="1">
      <c r="A294" s="4" t="s">
        <v>1151</v>
      </c>
      <c r="B294" s="4" t="s">
        <v>78</v>
      </c>
      <c r="C294" s="4" t="s">
        <v>92</v>
      </c>
      <c r="D294" s="4" t="s">
        <v>191</v>
      </c>
      <c r="E294" s="4" t="s">
        <v>191</v>
      </c>
      <c r="F294" s="11" t="s">
        <v>192</v>
      </c>
      <c r="G294" s="21" t="s">
        <v>1152</v>
      </c>
      <c r="H294" s="21" t="s">
        <v>1153</v>
      </c>
      <c r="I294" s="1" t="s">
        <v>89</v>
      </c>
      <c r="J294" s="1" t="s">
        <v>89</v>
      </c>
      <c r="K294" s="1" t="s">
        <v>89</v>
      </c>
      <c r="L294" s="1" t="s">
        <v>259</v>
      </c>
      <c r="M294" s="2">
        <v>21.75</v>
      </c>
      <c r="N294" s="30">
        <v>2</v>
      </c>
      <c r="O294" s="30">
        <f>IF(ISNUMBER(SEARCH("IMS",PMS_Catalog[[#This Row],[WU Id]])),"IMS",PMS_Catalog[[#This Row],[UNIQUE PRICE per hour]]*PMS_Catalog[[#This Row],[PMS Effort (Hours)]])</f>
        <v>43.5</v>
      </c>
      <c r="P294" s="30">
        <v>3</v>
      </c>
      <c r="Q294" s="53" t="s">
        <v>88</v>
      </c>
      <c r="R294" s="1" t="s">
        <v>89</v>
      </c>
      <c r="S294" s="1"/>
      <c r="T294" s="31">
        <v>45086</v>
      </c>
      <c r="U294" s="1" t="s">
        <v>278</v>
      </c>
      <c r="V294" s="31">
        <v>45086</v>
      </c>
      <c r="W294" s="1">
        <f t="shared" ca="1" si="8"/>
        <v>3</v>
      </c>
      <c r="X294" s="1" cm="1">
        <f t="array" aca="1" ref="X294" ca="1">_xlfn.IFS(W293=1,8%,W293=2,10%,W293&gt;2,10%,W293&lt;1,0)</f>
        <v>0.1</v>
      </c>
      <c r="Y294" s="35">
        <f t="shared" ca="1" si="9"/>
        <v>39.15</v>
      </c>
      <c r="Z294" s="40"/>
      <c r="AA294" s="1" t="str">
        <f>LEFT(PMS_Catalog[[#This Row],[WU Id]],3)</f>
        <v>PMS</v>
      </c>
    </row>
    <row r="295" spans="1:27" ht="39" customHeight="1">
      <c r="A295" s="1" t="s">
        <v>1154</v>
      </c>
      <c r="B295" s="1" t="s">
        <v>78</v>
      </c>
      <c r="C295" s="1" t="s">
        <v>901</v>
      </c>
      <c r="D295" s="1" t="s">
        <v>191</v>
      </c>
      <c r="E295" s="1" t="s">
        <v>191</v>
      </c>
      <c r="F295" s="11" t="s">
        <v>192</v>
      </c>
      <c r="G295" s="21" t="s">
        <v>1155</v>
      </c>
      <c r="H295" s="21" t="s">
        <v>1156</v>
      </c>
      <c r="I295" s="1" t="s">
        <v>89</v>
      </c>
      <c r="J295" s="1" t="s">
        <v>89</v>
      </c>
      <c r="K295" s="1" t="s">
        <v>89</v>
      </c>
      <c r="L295" s="1" t="s">
        <v>259</v>
      </c>
      <c r="M295" s="2">
        <v>21.75</v>
      </c>
      <c r="N295" s="30">
        <v>2</v>
      </c>
      <c r="O295" s="30">
        <f>IF(ISNUMBER(SEARCH("IMS",PMS_Catalog[[#This Row],[WU Id]])),"IMS",PMS_Catalog[[#This Row],[UNIQUE PRICE per hour]]*PMS_Catalog[[#This Row],[PMS Effort (Hours)]])</f>
        <v>43.5</v>
      </c>
      <c r="P295" s="30">
        <v>3</v>
      </c>
      <c r="Q295" s="53" t="s">
        <v>88</v>
      </c>
      <c r="R295" s="1" t="s">
        <v>89</v>
      </c>
      <c r="S295" s="1"/>
      <c r="T295" s="31">
        <v>45086</v>
      </c>
      <c r="U295" s="1" t="s">
        <v>278</v>
      </c>
      <c r="V295" s="31">
        <v>45086</v>
      </c>
      <c r="W295" s="1">
        <f t="shared" ca="1" si="8"/>
        <v>3</v>
      </c>
      <c r="X295" s="1" cm="1">
        <f t="array" aca="1" ref="X295" ca="1">_xlfn.IFS(W294=1,8%,W294=2,10%,W294&gt;2,10%,W294&lt;1,0)</f>
        <v>0.1</v>
      </c>
      <c r="Y295" s="35">
        <f t="shared" ca="1" si="9"/>
        <v>39.15</v>
      </c>
      <c r="Z295" s="40"/>
      <c r="AA295" s="1" t="str">
        <f>LEFT(PMS_Catalog[[#This Row],[WU Id]],3)</f>
        <v>PMS</v>
      </c>
    </row>
    <row r="296" spans="1:27" ht="39" customHeight="1">
      <c r="A296" s="4" t="s">
        <v>1157</v>
      </c>
      <c r="B296" s="4" t="s">
        <v>78</v>
      </c>
      <c r="C296" s="4" t="s">
        <v>901</v>
      </c>
      <c r="D296" s="4" t="s">
        <v>191</v>
      </c>
      <c r="E296" s="4" t="s">
        <v>191</v>
      </c>
      <c r="F296" s="11" t="s">
        <v>192</v>
      </c>
      <c r="G296" s="21" t="s">
        <v>1158</v>
      </c>
      <c r="H296" s="21" t="s">
        <v>1159</v>
      </c>
      <c r="I296" s="1" t="s">
        <v>89</v>
      </c>
      <c r="J296" s="1" t="s">
        <v>89</v>
      </c>
      <c r="K296" s="1" t="s">
        <v>89</v>
      </c>
      <c r="L296" s="1" t="s">
        <v>259</v>
      </c>
      <c r="M296" s="2">
        <v>21.75</v>
      </c>
      <c r="N296" s="30">
        <v>8</v>
      </c>
      <c r="O296" s="30">
        <f>IF(ISNUMBER(SEARCH("IMS",PMS_Catalog[[#This Row],[WU Id]])),"IMS",PMS_Catalog[[#This Row],[UNIQUE PRICE per hour]]*PMS_Catalog[[#This Row],[PMS Effort (Hours)]])</f>
        <v>174</v>
      </c>
      <c r="P296" s="30">
        <v>4</v>
      </c>
      <c r="Q296" s="53" t="s">
        <v>88</v>
      </c>
      <c r="R296" s="1" t="s">
        <v>89</v>
      </c>
      <c r="S296" s="1"/>
      <c r="T296" s="31">
        <v>45086</v>
      </c>
      <c r="U296" s="1" t="s">
        <v>278</v>
      </c>
      <c r="V296" s="31">
        <v>45086</v>
      </c>
      <c r="W296" s="1">
        <f t="shared" ca="1" si="8"/>
        <v>3</v>
      </c>
      <c r="X296" s="1" cm="1">
        <f t="array" aca="1" ref="X296" ca="1">_xlfn.IFS(W295=1,8%,W295=2,10%,W295&gt;2,10%,W295&lt;1,0)</f>
        <v>0.1</v>
      </c>
      <c r="Y296" s="35">
        <f t="shared" ca="1" si="9"/>
        <v>156.6</v>
      </c>
      <c r="Z296" s="40"/>
      <c r="AA296" s="1" t="str">
        <f>LEFT(PMS_Catalog[[#This Row],[WU Id]],3)</f>
        <v>PMS</v>
      </c>
    </row>
    <row r="297" spans="1:27" ht="39" customHeight="1">
      <c r="A297" s="4" t="s">
        <v>1160</v>
      </c>
      <c r="B297" s="4" t="s">
        <v>710</v>
      </c>
      <c r="C297" s="4" t="s">
        <v>92</v>
      </c>
      <c r="D297" s="4" t="s">
        <v>992</v>
      </c>
      <c r="E297" s="4" t="s">
        <v>1161</v>
      </c>
      <c r="F297" s="11" t="s">
        <v>192</v>
      </c>
      <c r="G297" s="21" t="s">
        <v>1162</v>
      </c>
      <c r="H297" s="21" t="s">
        <v>1028</v>
      </c>
      <c r="I297" s="1" t="s">
        <v>89</v>
      </c>
      <c r="J297" s="1" t="s">
        <v>89</v>
      </c>
      <c r="K297" s="1" t="s">
        <v>89</v>
      </c>
      <c r="L297" s="1" t="s">
        <v>518</v>
      </c>
      <c r="M297" s="2">
        <v>21.75</v>
      </c>
      <c r="N297" s="30">
        <v>1.25</v>
      </c>
      <c r="O297" s="30">
        <f>IF(ISNUMBER(SEARCH("IMS",PMS_Catalog[[#This Row],[WU Id]])),"IMS",PMS_Catalog[[#This Row],[UNIQUE PRICE per hour]]*PMS_Catalog[[#This Row],[PMS Effort (Hours)]])</f>
        <v>27.1875</v>
      </c>
      <c r="P297" s="30">
        <v>2</v>
      </c>
      <c r="Q297" s="53" t="s">
        <v>88</v>
      </c>
      <c r="R297" s="1" t="s">
        <v>89</v>
      </c>
      <c r="S297" s="1"/>
      <c r="T297" s="31">
        <v>45086</v>
      </c>
      <c r="U297" s="1" t="s">
        <v>278</v>
      </c>
      <c r="V297" s="31">
        <v>45086</v>
      </c>
      <c r="W297" s="1">
        <f t="shared" ca="1" si="8"/>
        <v>3</v>
      </c>
      <c r="X297" s="1" cm="1">
        <f t="array" aca="1" ref="X297" ca="1">_xlfn.IFS(W296=1,8%,W296=2,10%,W296&gt;2,10%,W296&lt;1,0)</f>
        <v>0.1</v>
      </c>
      <c r="Y297" s="35">
        <f t="shared" ca="1" si="9"/>
        <v>24.46875</v>
      </c>
      <c r="Z297" s="40"/>
      <c r="AA297" s="1" t="str">
        <f>LEFT(PMS_Catalog[[#This Row],[WU Id]],3)</f>
        <v>PMS</v>
      </c>
    </row>
    <row r="298" spans="1:27" ht="39" customHeight="1">
      <c r="A298" s="1" t="s">
        <v>1163</v>
      </c>
      <c r="B298" s="1" t="s">
        <v>710</v>
      </c>
      <c r="C298" s="1" t="s">
        <v>92</v>
      </c>
      <c r="D298" s="1" t="s">
        <v>992</v>
      </c>
      <c r="E298" s="1" t="s">
        <v>1161</v>
      </c>
      <c r="F298" s="11" t="s">
        <v>192</v>
      </c>
      <c r="G298" s="21" t="s">
        <v>1164</v>
      </c>
      <c r="H298" s="21" t="s">
        <v>1165</v>
      </c>
      <c r="I298" s="1" t="s">
        <v>89</v>
      </c>
      <c r="J298" s="1" t="s">
        <v>89</v>
      </c>
      <c r="K298" s="1" t="s">
        <v>89</v>
      </c>
      <c r="L298" s="1" t="s">
        <v>1166</v>
      </c>
      <c r="M298" s="2">
        <v>21.75</v>
      </c>
      <c r="N298" s="30">
        <v>3.5</v>
      </c>
      <c r="O298" s="30">
        <f>IF(ISNUMBER(SEARCH("IMS",PMS_Catalog[[#This Row],[WU Id]])),"IMS",PMS_Catalog[[#This Row],[UNIQUE PRICE per hour]]*PMS_Catalog[[#This Row],[PMS Effort (Hours)]])</f>
        <v>76.125</v>
      </c>
      <c r="P298" s="30">
        <v>2</v>
      </c>
      <c r="Q298" s="53" t="s">
        <v>88</v>
      </c>
      <c r="R298" s="1" t="s">
        <v>89</v>
      </c>
      <c r="S298" s="1"/>
      <c r="T298" s="31">
        <v>45184</v>
      </c>
      <c r="U298" s="1" t="s">
        <v>1140</v>
      </c>
      <c r="V298" s="31">
        <v>45184</v>
      </c>
      <c r="W298" s="1">
        <f t="shared" ca="1" si="8"/>
        <v>2</v>
      </c>
      <c r="X298" s="1" cm="1">
        <f t="array" aca="1" ref="X298" ca="1">_xlfn.IFS(W297=1,8%,W297=2,10%,W297&gt;2,10%,W297&lt;1,0)</f>
        <v>0.1</v>
      </c>
      <c r="Y298" s="35">
        <f t="shared" ca="1" si="9"/>
        <v>68.512500000000003</v>
      </c>
      <c r="Z298" s="40"/>
      <c r="AA298" s="1" t="str">
        <f>LEFT(PMS_Catalog[[#This Row],[WU Id]],3)</f>
        <v>PMS</v>
      </c>
    </row>
    <row r="299" spans="1:27" ht="39" customHeight="1">
      <c r="A299" s="4" t="s">
        <v>1167</v>
      </c>
      <c r="B299" s="4" t="s">
        <v>78</v>
      </c>
      <c r="C299" s="4" t="s">
        <v>1168</v>
      </c>
      <c r="D299" s="4" t="s">
        <v>406</v>
      </c>
      <c r="E299" s="4" t="s">
        <v>1169</v>
      </c>
      <c r="F299" s="11" t="s">
        <v>192</v>
      </c>
      <c r="G299" s="21" t="s">
        <v>1170</v>
      </c>
      <c r="H299" s="21" t="s">
        <v>1171</v>
      </c>
      <c r="I299" s="1" t="s">
        <v>89</v>
      </c>
      <c r="J299" s="1" t="s">
        <v>89</v>
      </c>
      <c r="K299" s="1" t="s">
        <v>89</v>
      </c>
      <c r="L299" s="1" t="s">
        <v>413</v>
      </c>
      <c r="M299" s="2">
        <v>21.75</v>
      </c>
      <c r="N299" s="30">
        <v>1</v>
      </c>
      <c r="O299" s="30">
        <f>IF(ISNUMBER(SEARCH("IMS",PMS_Catalog[[#This Row],[WU Id]])),"IMS",PMS_Catalog[[#This Row],[UNIQUE PRICE per hour]]*PMS_Catalog[[#This Row],[PMS Effort (Hours)]])</f>
        <v>21.75</v>
      </c>
      <c r="P299" s="30">
        <v>3</v>
      </c>
      <c r="Q299" s="53" t="s">
        <v>88</v>
      </c>
      <c r="R299" s="1" t="s">
        <v>89</v>
      </c>
      <c r="S299" s="1"/>
      <c r="T299" s="31">
        <v>45184</v>
      </c>
      <c r="U299" s="1" t="s">
        <v>1140</v>
      </c>
      <c r="V299" s="31">
        <v>45184</v>
      </c>
      <c r="W299" s="1">
        <f t="shared" ca="1" si="8"/>
        <v>2</v>
      </c>
      <c r="X299" s="1" cm="1">
        <f t="array" aca="1" ref="X299" ca="1">_xlfn.IFS(W298=1,8%,W298=2,10%,W298&gt;2,10%,W298&lt;1,0)</f>
        <v>0.1</v>
      </c>
      <c r="Y299" s="35">
        <f t="shared" ca="1" si="9"/>
        <v>19.574999999999999</v>
      </c>
      <c r="Z299" s="40"/>
      <c r="AA299" s="1" t="str">
        <f>LEFT(PMS_Catalog[[#This Row],[WU Id]],3)</f>
        <v>PMS</v>
      </c>
    </row>
    <row r="300" spans="1:27" ht="39" customHeight="1">
      <c r="A300" s="4" t="s">
        <v>1172</v>
      </c>
      <c r="B300" s="4" t="s">
        <v>78</v>
      </c>
      <c r="C300" s="4" t="s">
        <v>1168</v>
      </c>
      <c r="D300" s="4" t="s">
        <v>406</v>
      </c>
      <c r="E300" s="4" t="s">
        <v>1173</v>
      </c>
      <c r="F300" s="11" t="s">
        <v>192</v>
      </c>
      <c r="G300" s="21" t="s">
        <v>1174</v>
      </c>
      <c r="H300" s="21" t="s">
        <v>1175</v>
      </c>
      <c r="I300" s="1" t="s">
        <v>89</v>
      </c>
      <c r="J300" s="1" t="s">
        <v>89</v>
      </c>
      <c r="K300" s="1" t="s">
        <v>89</v>
      </c>
      <c r="L300" s="1" t="s">
        <v>413</v>
      </c>
      <c r="M300" s="2">
        <v>21.75</v>
      </c>
      <c r="N300" s="30">
        <v>0.5</v>
      </c>
      <c r="O300" s="30">
        <f>IF(ISNUMBER(SEARCH("IMS",PMS_Catalog[[#This Row],[WU Id]])),"IMS",PMS_Catalog[[#This Row],[UNIQUE PRICE per hour]]*PMS_Catalog[[#This Row],[PMS Effort (Hours)]])</f>
        <v>10.875</v>
      </c>
      <c r="P300" s="30">
        <v>3</v>
      </c>
      <c r="Q300" s="53" t="s">
        <v>88</v>
      </c>
      <c r="R300" s="1" t="s">
        <v>89</v>
      </c>
      <c r="S300" s="1"/>
      <c r="T300" s="31">
        <v>45184</v>
      </c>
      <c r="U300" s="1" t="s">
        <v>1140</v>
      </c>
      <c r="V300" s="31">
        <v>45184</v>
      </c>
      <c r="W300" s="1">
        <f t="shared" ca="1" si="8"/>
        <v>2</v>
      </c>
      <c r="X300" s="1" cm="1">
        <f t="array" aca="1" ref="X300" ca="1">_xlfn.IFS(W299=1,8%,W299=2,10%,W299&gt;2,10%,W299&lt;1,0)</f>
        <v>0.1</v>
      </c>
      <c r="Y300" s="35">
        <f t="shared" ca="1" si="9"/>
        <v>9.7874999999999996</v>
      </c>
      <c r="Z300" s="40"/>
      <c r="AA300" s="1" t="str">
        <f>LEFT(PMS_Catalog[[#This Row],[WU Id]],3)</f>
        <v>PMS</v>
      </c>
    </row>
    <row r="301" spans="1:27" ht="39" customHeight="1">
      <c r="A301" s="1" t="s">
        <v>1176</v>
      </c>
      <c r="B301" s="1" t="s">
        <v>78</v>
      </c>
      <c r="C301" s="1" t="s">
        <v>1168</v>
      </c>
      <c r="D301" s="1" t="s">
        <v>406</v>
      </c>
      <c r="E301" s="1" t="s">
        <v>1177</v>
      </c>
      <c r="F301" s="11" t="s">
        <v>192</v>
      </c>
      <c r="G301" s="21" t="s">
        <v>1178</v>
      </c>
      <c r="H301" s="21" t="s">
        <v>1179</v>
      </c>
      <c r="I301" s="1" t="s">
        <v>89</v>
      </c>
      <c r="J301" s="1" t="s">
        <v>89</v>
      </c>
      <c r="K301" s="1" t="s">
        <v>89</v>
      </c>
      <c r="L301" s="1" t="s">
        <v>413</v>
      </c>
      <c r="M301" s="2">
        <v>21.75</v>
      </c>
      <c r="N301" s="30">
        <v>0.5</v>
      </c>
      <c r="O301" s="30">
        <f>IF(ISNUMBER(SEARCH("IMS",PMS_Catalog[[#This Row],[WU Id]])),"IMS",PMS_Catalog[[#This Row],[UNIQUE PRICE per hour]]*PMS_Catalog[[#This Row],[PMS Effort (Hours)]])</f>
        <v>10.875</v>
      </c>
      <c r="P301" s="30">
        <v>3</v>
      </c>
      <c r="Q301" s="53" t="s">
        <v>88</v>
      </c>
      <c r="R301" s="1" t="s">
        <v>89</v>
      </c>
      <c r="S301" s="1"/>
      <c r="T301" s="31">
        <v>45184</v>
      </c>
      <c r="U301" s="1" t="s">
        <v>1140</v>
      </c>
      <c r="V301" s="31">
        <v>45184</v>
      </c>
      <c r="W301" s="1">
        <f t="shared" ca="1" si="8"/>
        <v>2</v>
      </c>
      <c r="X301" s="1" cm="1">
        <f t="array" aca="1" ref="X301" ca="1">_xlfn.IFS(W300=1,8%,W300=2,10%,W300&gt;2,10%,W300&lt;1,0)</f>
        <v>0.1</v>
      </c>
      <c r="Y301" s="35">
        <f t="shared" ca="1" si="9"/>
        <v>9.7874999999999996</v>
      </c>
      <c r="Z301" s="40"/>
      <c r="AA301" s="1" t="str">
        <f>LEFT(PMS_Catalog[[#This Row],[WU Id]],3)</f>
        <v>PMS</v>
      </c>
    </row>
    <row r="302" spans="1:27" ht="39" customHeight="1">
      <c r="A302" s="4" t="s">
        <v>1180</v>
      </c>
      <c r="B302" s="4" t="s">
        <v>78</v>
      </c>
      <c r="C302" s="4" t="s">
        <v>1168</v>
      </c>
      <c r="D302" s="4" t="s">
        <v>406</v>
      </c>
      <c r="E302" s="4" t="s">
        <v>407</v>
      </c>
      <c r="F302" s="11" t="s">
        <v>192</v>
      </c>
      <c r="G302" s="21" t="s">
        <v>1181</v>
      </c>
      <c r="H302" s="21" t="s">
        <v>1182</v>
      </c>
      <c r="I302" s="1" t="s">
        <v>89</v>
      </c>
      <c r="J302" s="1" t="s">
        <v>89</v>
      </c>
      <c r="K302" s="1" t="s">
        <v>89</v>
      </c>
      <c r="L302" s="1" t="s">
        <v>1183</v>
      </c>
      <c r="M302" s="2">
        <v>21.75</v>
      </c>
      <c r="N302" s="30">
        <v>0.5</v>
      </c>
      <c r="O302" s="30">
        <f>IF(ISNUMBER(SEARCH("IMS",PMS_Catalog[[#This Row],[WU Id]])),"IMS",PMS_Catalog[[#This Row],[UNIQUE PRICE per hour]]*PMS_Catalog[[#This Row],[PMS Effort (Hours)]])</f>
        <v>10.875</v>
      </c>
      <c r="P302" s="30">
        <v>45</v>
      </c>
      <c r="Q302" s="53" t="s">
        <v>88</v>
      </c>
      <c r="R302" s="1" t="s">
        <v>89</v>
      </c>
      <c r="S302" s="1"/>
      <c r="T302" s="31">
        <v>45184</v>
      </c>
      <c r="U302" s="1" t="s">
        <v>1140</v>
      </c>
      <c r="V302" s="31">
        <v>45184</v>
      </c>
      <c r="W302" s="1">
        <f t="shared" ca="1" si="8"/>
        <v>2</v>
      </c>
      <c r="X302" s="1" cm="1">
        <f t="array" aca="1" ref="X302" ca="1">_xlfn.IFS(W301=1,8%,W301=2,10%,W301&gt;2,10%,W301&lt;1,0)</f>
        <v>0.1</v>
      </c>
      <c r="Y302" s="35">
        <f t="shared" ca="1" si="9"/>
        <v>9.7874999999999996</v>
      </c>
      <c r="Z302" s="40"/>
      <c r="AA302" s="1" t="str">
        <f>LEFT(PMS_Catalog[[#This Row],[WU Id]],3)</f>
        <v>PMS</v>
      </c>
    </row>
    <row r="303" spans="1:27" ht="39" customHeight="1">
      <c r="A303" s="1" t="s">
        <v>1184</v>
      </c>
      <c r="B303" s="1" t="s">
        <v>78</v>
      </c>
      <c r="C303" s="1" t="s">
        <v>901</v>
      </c>
      <c r="D303" s="1" t="s">
        <v>524</v>
      </c>
      <c r="E303" s="1" t="s">
        <v>462</v>
      </c>
      <c r="F303" s="14" t="s">
        <v>81</v>
      </c>
      <c r="G303" s="21" t="s">
        <v>1185</v>
      </c>
      <c r="H303" s="21" t="s">
        <v>1186</v>
      </c>
      <c r="I303" s="1" t="s">
        <v>89</v>
      </c>
      <c r="J303" s="1" t="s">
        <v>89</v>
      </c>
      <c r="K303" s="1" t="s">
        <v>89</v>
      </c>
      <c r="L303" s="1" t="s">
        <v>89</v>
      </c>
      <c r="M303" s="2">
        <v>21.75</v>
      </c>
      <c r="N303" s="34" t="s">
        <v>7</v>
      </c>
      <c r="O303" s="34" t="str">
        <f>IF(ISNUMBER(SEARCH("IMS",PMS_Catalog[[#This Row],[WU Id]])),"IMS",PMS_Catalog[[#This Row],[UNIQUE PRICE per hour]]*PMS_Catalog[[#This Row],[PMS Effort (Hours)]])</f>
        <v>IMS</v>
      </c>
      <c r="P303" s="34">
        <v>7</v>
      </c>
      <c r="Q303" s="53" t="s">
        <v>88</v>
      </c>
      <c r="R303" s="1" t="s">
        <v>89</v>
      </c>
      <c r="S303" s="1"/>
      <c r="T303" s="31">
        <v>45184</v>
      </c>
      <c r="U303" s="1" t="s">
        <v>1140</v>
      </c>
      <c r="V303" s="31">
        <v>45184</v>
      </c>
      <c r="W303" s="1">
        <f t="shared" ca="1" si="8"/>
        <v>2</v>
      </c>
      <c r="X303" s="1" cm="1">
        <f t="array" aca="1" ref="X303" ca="1">_xlfn.IFS(W302=1,8%,W302=2,10%,W302&gt;2,10%,W302&lt;1,0)</f>
        <v>0.1</v>
      </c>
      <c r="Y303" s="35" t="str">
        <f t="shared" si="9"/>
        <v>IMS</v>
      </c>
      <c r="Z303" s="40"/>
      <c r="AA303" s="1" t="str">
        <f>LEFT(PMS_Catalog[[#This Row],[WU Id]],3)</f>
        <v>IMS</v>
      </c>
    </row>
    <row r="304" spans="1:27" ht="39" customHeight="1">
      <c r="A304" s="4" t="s">
        <v>1187</v>
      </c>
      <c r="B304" s="4" t="s">
        <v>78</v>
      </c>
      <c r="C304" s="4" t="s">
        <v>1168</v>
      </c>
      <c r="D304" s="4" t="s">
        <v>406</v>
      </c>
      <c r="E304" s="4" t="s">
        <v>1188</v>
      </c>
      <c r="F304" s="13" t="s">
        <v>140</v>
      </c>
      <c r="G304" s="21" t="s">
        <v>1189</v>
      </c>
      <c r="H304" s="21" t="s">
        <v>1190</v>
      </c>
      <c r="I304" s="1" t="s">
        <v>89</v>
      </c>
      <c r="J304" s="1" t="s">
        <v>89</v>
      </c>
      <c r="K304" s="1" t="s">
        <v>89</v>
      </c>
      <c r="L304" s="1" t="s">
        <v>533</v>
      </c>
      <c r="M304" s="2">
        <v>21.75</v>
      </c>
      <c r="N304" s="34" t="s">
        <v>7</v>
      </c>
      <c r="O304" s="34" t="str">
        <f>IF(ISNUMBER(SEARCH("IMS",PMS_Catalog[[#This Row],[WU Id]])),"IMS",PMS_Catalog[[#This Row],[UNIQUE PRICE per hour]]*PMS_Catalog[[#This Row],[PMS Effort (Hours)]])</f>
        <v>IMS</v>
      </c>
      <c r="P304" s="34">
        <v>1</v>
      </c>
      <c r="Q304" s="53" t="s">
        <v>88</v>
      </c>
      <c r="R304" s="1" t="s">
        <v>89</v>
      </c>
      <c r="S304" s="1"/>
      <c r="T304" s="31">
        <v>45184</v>
      </c>
      <c r="U304" s="1" t="s">
        <v>1140</v>
      </c>
      <c r="V304" s="31">
        <v>45184</v>
      </c>
      <c r="W304" s="1">
        <f t="shared" ca="1" si="8"/>
        <v>2</v>
      </c>
      <c r="X304" s="1" cm="1">
        <f t="array" aca="1" ref="X304" ca="1">_xlfn.IFS(W303=1,8%,W303=2,10%,W303&gt;2,10%,W303&lt;1,0)</f>
        <v>0.1</v>
      </c>
      <c r="Y304" s="35" t="str">
        <f t="shared" si="9"/>
        <v>IMS</v>
      </c>
      <c r="Z304" s="40"/>
      <c r="AA304" s="1" t="str">
        <f>LEFT(PMS_Catalog[[#This Row],[WU Id]],3)</f>
        <v>IMS</v>
      </c>
    </row>
    <row r="305" spans="1:27" ht="39" customHeight="1">
      <c r="A305" s="4" t="s">
        <v>1191</v>
      </c>
      <c r="B305" s="4" t="s">
        <v>78</v>
      </c>
      <c r="C305" s="4" t="s">
        <v>1168</v>
      </c>
      <c r="D305" s="4" t="s">
        <v>406</v>
      </c>
      <c r="E305" s="4" t="s">
        <v>1188</v>
      </c>
      <c r="F305" s="11" t="s">
        <v>192</v>
      </c>
      <c r="G305" s="21" t="s">
        <v>1192</v>
      </c>
      <c r="H305" s="21" t="s">
        <v>1193</v>
      </c>
      <c r="I305" s="1" t="s">
        <v>89</v>
      </c>
      <c r="J305" s="1" t="s">
        <v>89</v>
      </c>
      <c r="K305" s="1" t="s">
        <v>89</v>
      </c>
      <c r="L305" s="1" t="s">
        <v>413</v>
      </c>
      <c r="M305" s="2">
        <v>21.75</v>
      </c>
      <c r="N305" s="30">
        <v>0.75</v>
      </c>
      <c r="O305" s="30">
        <f>IF(ISNUMBER(SEARCH("IMS",PMS_Catalog[[#This Row],[WU Id]])),"IMS",PMS_Catalog[[#This Row],[UNIQUE PRICE per hour]]*PMS_Catalog[[#This Row],[PMS Effort (Hours)]])</f>
        <v>16.3125</v>
      </c>
      <c r="P305" s="30">
        <v>5</v>
      </c>
      <c r="Q305" s="53" t="s">
        <v>88</v>
      </c>
      <c r="R305" s="1" t="s">
        <v>89</v>
      </c>
      <c r="S305" s="1"/>
      <c r="T305" s="31">
        <v>45184</v>
      </c>
      <c r="U305" s="1" t="s">
        <v>1140</v>
      </c>
      <c r="V305" s="31">
        <v>45184</v>
      </c>
      <c r="W305" s="1">
        <f t="shared" ca="1" si="8"/>
        <v>2</v>
      </c>
      <c r="X305" s="1" cm="1">
        <f t="array" aca="1" ref="X305" ca="1">_xlfn.IFS(W304=1,8%,W304=2,10%,W304&gt;2,10%,W304&lt;1,0)</f>
        <v>0.1</v>
      </c>
      <c r="Y305" s="35">
        <f t="shared" ca="1" si="9"/>
        <v>14.68125</v>
      </c>
      <c r="Z305" s="40"/>
      <c r="AA305" s="1" t="str">
        <f>LEFT(PMS_Catalog[[#This Row],[WU Id]],3)</f>
        <v>PMS</v>
      </c>
    </row>
    <row r="306" spans="1:27" ht="39" customHeight="1">
      <c r="A306" s="4" t="s">
        <v>1194</v>
      </c>
      <c r="B306" s="4" t="s">
        <v>78</v>
      </c>
      <c r="C306" s="4" t="s">
        <v>940</v>
      </c>
      <c r="D306" s="4" t="s">
        <v>269</v>
      </c>
      <c r="E306" s="4" t="s">
        <v>406</v>
      </c>
      <c r="F306" s="11" t="s">
        <v>192</v>
      </c>
      <c r="G306" s="21" t="s">
        <v>1195</v>
      </c>
      <c r="H306" s="21" t="s">
        <v>942</v>
      </c>
      <c r="I306" s="1" t="s">
        <v>943</v>
      </c>
      <c r="J306" s="1" t="s">
        <v>944</v>
      </c>
      <c r="K306" s="1" t="s">
        <v>945</v>
      </c>
      <c r="L306" s="1" t="s">
        <v>413</v>
      </c>
      <c r="M306" s="2">
        <v>21.75</v>
      </c>
      <c r="N306" s="30">
        <v>2.7</v>
      </c>
      <c r="O306" s="30">
        <f>IF(ISNUMBER(SEARCH("IMS",PMS_Catalog[[#This Row],[WU Id]])),"IMS",PMS_Catalog[[#This Row],[UNIQUE PRICE per hour]]*PMS_Catalog[[#This Row],[PMS Effort (Hours)]])</f>
        <v>58.725000000000001</v>
      </c>
      <c r="P306" s="30">
        <v>5</v>
      </c>
      <c r="Q306" s="53" t="s">
        <v>88</v>
      </c>
      <c r="R306" s="1" t="s">
        <v>89</v>
      </c>
      <c r="S306" s="1"/>
      <c r="T306" s="31">
        <v>45728</v>
      </c>
      <c r="U306" s="1" t="s">
        <v>703</v>
      </c>
      <c r="V306" s="31">
        <v>45184</v>
      </c>
      <c r="W306" s="1">
        <f t="shared" ca="1" si="8"/>
        <v>2</v>
      </c>
      <c r="X306" s="1" cm="1">
        <f t="array" aca="1" ref="X306" ca="1">_xlfn.IFS(W305=1,8%,W305=2,10%,W305&gt;2,10%,W305&lt;1,0)</f>
        <v>0.1</v>
      </c>
      <c r="Y306" s="35">
        <f t="shared" ca="1" si="9"/>
        <v>52.852499999999999</v>
      </c>
      <c r="Z306" s="40"/>
      <c r="AA306" s="1" t="str">
        <f>LEFT(PMS_Catalog[[#This Row],[WU Id]],3)</f>
        <v>PMS</v>
      </c>
    </row>
    <row r="307" spans="1:27" ht="39" customHeight="1">
      <c r="A307" s="1" t="s">
        <v>1196</v>
      </c>
      <c r="B307" s="1" t="s">
        <v>78</v>
      </c>
      <c r="C307" s="1" t="s">
        <v>92</v>
      </c>
      <c r="D307" s="1" t="s">
        <v>170</v>
      </c>
      <c r="E307" s="1" t="s">
        <v>170</v>
      </c>
      <c r="F307" s="11" t="s">
        <v>192</v>
      </c>
      <c r="G307" s="21" t="s">
        <v>1197</v>
      </c>
      <c r="H307" s="21" t="s">
        <v>1198</v>
      </c>
      <c r="I307" s="1" t="s">
        <v>89</v>
      </c>
      <c r="J307" s="1" t="s">
        <v>89</v>
      </c>
      <c r="K307" s="1" t="s">
        <v>265</v>
      </c>
      <c r="L307" s="1" t="s">
        <v>413</v>
      </c>
      <c r="M307" s="2">
        <v>21.75</v>
      </c>
      <c r="N307" s="30">
        <v>9</v>
      </c>
      <c r="O307" s="30">
        <f>IF(ISNUMBER(SEARCH("IMS",PMS_Catalog[[#This Row],[WU Id]])),"IMS",PMS_Catalog[[#This Row],[UNIQUE PRICE per hour]]*PMS_Catalog[[#This Row],[PMS Effort (Hours)]])</f>
        <v>195.75</v>
      </c>
      <c r="P307" s="30">
        <v>10</v>
      </c>
      <c r="Q307" s="53" t="s">
        <v>88</v>
      </c>
      <c r="R307" s="1" t="s">
        <v>89</v>
      </c>
      <c r="S307" s="1"/>
      <c r="T307" s="31">
        <v>45728</v>
      </c>
      <c r="U307" s="1" t="s">
        <v>703</v>
      </c>
      <c r="V307" s="31">
        <v>45184</v>
      </c>
      <c r="W307" s="1">
        <f t="shared" ca="1" si="8"/>
        <v>2</v>
      </c>
      <c r="X307" s="1" cm="1">
        <f t="array" aca="1" ref="X307" ca="1">_xlfn.IFS(W306=1,8%,W306=2,10%,W306&gt;2,10%,W306&lt;1,0)</f>
        <v>0.1</v>
      </c>
      <c r="Y307" s="35">
        <f t="shared" ca="1" si="9"/>
        <v>176.17500000000001</v>
      </c>
      <c r="Z307" s="40"/>
      <c r="AA307" s="1" t="str">
        <f>LEFT(PMS_Catalog[[#This Row],[WU Id]],3)</f>
        <v>PMS</v>
      </c>
    </row>
    <row r="308" spans="1:27" ht="56.1" customHeight="1">
      <c r="A308" s="4" t="s">
        <v>1199</v>
      </c>
      <c r="B308" s="4" t="s">
        <v>78</v>
      </c>
      <c r="C308" s="4" t="s">
        <v>92</v>
      </c>
      <c r="D308" s="4" t="s">
        <v>690</v>
      </c>
      <c r="E308" s="4" t="s">
        <v>691</v>
      </c>
      <c r="F308" s="11" t="s">
        <v>192</v>
      </c>
      <c r="G308" s="21" t="s">
        <v>1200</v>
      </c>
      <c r="H308" s="21" t="s">
        <v>1201</v>
      </c>
      <c r="I308" s="1" t="s">
        <v>89</v>
      </c>
      <c r="J308" s="1" t="s">
        <v>89</v>
      </c>
      <c r="K308" s="1" t="s">
        <v>89</v>
      </c>
      <c r="L308" s="1" t="s">
        <v>413</v>
      </c>
      <c r="M308" s="2">
        <v>21.75</v>
      </c>
      <c r="N308" s="30">
        <v>5</v>
      </c>
      <c r="O308" s="30">
        <f>IF(ISNUMBER(SEARCH("IMS",PMS_Catalog[[#This Row],[WU Id]])),"IMS",PMS_Catalog[[#This Row],[UNIQUE PRICE per hour]]*PMS_Catalog[[#This Row],[PMS Effort (Hours)]])</f>
        <v>108.75</v>
      </c>
      <c r="P308" s="30">
        <v>10</v>
      </c>
      <c r="Q308" s="53" t="s">
        <v>88</v>
      </c>
      <c r="R308" s="1" t="s">
        <v>89</v>
      </c>
      <c r="S308" s="1"/>
      <c r="T308" s="31">
        <v>45728</v>
      </c>
      <c r="U308" s="1" t="s">
        <v>703</v>
      </c>
      <c r="V308" s="31">
        <v>45184</v>
      </c>
      <c r="W308" s="1">
        <f t="shared" ca="1" si="8"/>
        <v>2</v>
      </c>
      <c r="X308" s="1" cm="1">
        <f t="array" aca="1" ref="X308" ca="1">_xlfn.IFS(W307=1,8%,W307=2,10%,W307&gt;2,10%,W307&lt;1,0)</f>
        <v>0.1</v>
      </c>
      <c r="Y308" s="35">
        <f t="shared" ca="1" si="9"/>
        <v>97.875</v>
      </c>
      <c r="Z308" s="40"/>
      <c r="AA308" s="1" t="str">
        <f>LEFT(PMS_Catalog[[#This Row],[WU Id]],3)</f>
        <v>PMS</v>
      </c>
    </row>
    <row r="309" spans="1:27" ht="39" customHeight="1">
      <c r="A309" s="4" t="s">
        <v>1202</v>
      </c>
      <c r="B309" s="4" t="s">
        <v>78</v>
      </c>
      <c r="C309" s="4" t="s">
        <v>1203</v>
      </c>
      <c r="D309" s="4" t="s">
        <v>406</v>
      </c>
      <c r="E309" s="4" t="s">
        <v>1204</v>
      </c>
      <c r="F309" s="11" t="s">
        <v>192</v>
      </c>
      <c r="G309" s="21" t="s">
        <v>1205</v>
      </c>
      <c r="H309" s="21" t="s">
        <v>1171</v>
      </c>
      <c r="I309" s="1" t="s">
        <v>89</v>
      </c>
      <c r="J309" s="1" t="s">
        <v>89</v>
      </c>
      <c r="K309" s="1" t="s">
        <v>89</v>
      </c>
      <c r="L309" s="1" t="s">
        <v>413</v>
      </c>
      <c r="M309" s="2">
        <v>21.75</v>
      </c>
      <c r="N309" s="30">
        <v>1</v>
      </c>
      <c r="O309" s="30">
        <f>IF(ISNUMBER(SEARCH("IMS",PMS_Catalog[[#This Row],[WU Id]])),"IMS",PMS_Catalog[[#This Row],[UNIQUE PRICE per hour]]*PMS_Catalog[[#This Row],[PMS Effort (Hours)]])</f>
        <v>21.75</v>
      </c>
      <c r="P309" s="30">
        <v>3</v>
      </c>
      <c r="Q309" s="53" t="s">
        <v>88</v>
      </c>
      <c r="R309" s="1" t="s">
        <v>89</v>
      </c>
      <c r="S309" s="1"/>
      <c r="T309" s="31">
        <v>45184</v>
      </c>
      <c r="U309" s="1" t="s">
        <v>1140</v>
      </c>
      <c r="V309" s="31">
        <v>45184</v>
      </c>
      <c r="W309" s="1">
        <f t="shared" ca="1" si="8"/>
        <v>2</v>
      </c>
      <c r="X309" s="1" cm="1">
        <f t="array" aca="1" ref="X309" ca="1">_xlfn.IFS(W308=1,8%,W308=2,10%,W308&gt;2,10%,W308&lt;1,0)</f>
        <v>0.1</v>
      </c>
      <c r="Y309" s="35">
        <f t="shared" ca="1" si="9"/>
        <v>19.574999999999999</v>
      </c>
      <c r="Z309" s="40"/>
      <c r="AA309" s="1" t="str">
        <f>LEFT(PMS_Catalog[[#This Row],[WU Id]],3)</f>
        <v>PMS</v>
      </c>
    </row>
    <row r="310" spans="1:27" ht="39" customHeight="1">
      <c r="A310" s="1" t="s">
        <v>1206</v>
      </c>
      <c r="B310" s="1" t="s">
        <v>78</v>
      </c>
      <c r="C310" s="1" t="s">
        <v>1168</v>
      </c>
      <c r="D310" s="1" t="s">
        <v>406</v>
      </c>
      <c r="E310" s="1" t="s">
        <v>407</v>
      </c>
      <c r="F310" s="11" t="s">
        <v>192</v>
      </c>
      <c r="G310" s="21" t="s">
        <v>1207</v>
      </c>
      <c r="H310" s="21" t="s">
        <v>1208</v>
      </c>
      <c r="I310" s="1" t="s">
        <v>89</v>
      </c>
      <c r="J310" s="1" t="s">
        <v>89</v>
      </c>
      <c r="K310" s="1" t="s">
        <v>89</v>
      </c>
      <c r="L310" s="1" t="s">
        <v>1016</v>
      </c>
      <c r="M310" s="2">
        <v>21.75</v>
      </c>
      <c r="N310" s="30">
        <v>2</v>
      </c>
      <c r="O310" s="30">
        <f>IF(ISNUMBER(SEARCH("IMS",PMS_Catalog[[#This Row],[WU Id]])),"IMS",PMS_Catalog[[#This Row],[UNIQUE PRICE per hour]]*PMS_Catalog[[#This Row],[PMS Effort (Hours)]])</f>
        <v>43.5</v>
      </c>
      <c r="P310" s="30">
        <v>3</v>
      </c>
      <c r="Q310" s="53" t="s">
        <v>88</v>
      </c>
      <c r="R310" s="1" t="s">
        <v>89</v>
      </c>
      <c r="S310" s="1"/>
      <c r="T310" s="31">
        <v>45184</v>
      </c>
      <c r="U310" s="1" t="s">
        <v>1140</v>
      </c>
      <c r="V310" s="31">
        <v>45184</v>
      </c>
      <c r="W310" s="1">
        <f t="shared" ca="1" si="8"/>
        <v>2</v>
      </c>
      <c r="X310" s="1" cm="1">
        <f t="array" aca="1" ref="X310" ca="1">_xlfn.IFS(W309=1,8%,W309=2,10%,W309&gt;2,10%,W309&lt;1,0)</f>
        <v>0.1</v>
      </c>
      <c r="Y310" s="35">
        <f t="shared" ca="1" si="9"/>
        <v>39.15</v>
      </c>
      <c r="Z310" s="40"/>
      <c r="AA310" s="1" t="str">
        <f>LEFT(PMS_Catalog[[#This Row],[WU Id]],3)</f>
        <v>PMS</v>
      </c>
    </row>
    <row r="311" spans="1:27" ht="39" customHeight="1">
      <c r="A311" s="4" t="s">
        <v>1209</v>
      </c>
      <c r="B311" s="4" t="s">
        <v>710</v>
      </c>
      <c r="C311" s="4" t="s">
        <v>92</v>
      </c>
      <c r="D311" s="4" t="s">
        <v>1210</v>
      </c>
      <c r="E311" s="4" t="s">
        <v>1211</v>
      </c>
      <c r="F311" s="11" t="s">
        <v>408</v>
      </c>
      <c r="G311" s="21" t="s">
        <v>1212</v>
      </c>
      <c r="H311" s="21" t="s">
        <v>1213</v>
      </c>
      <c r="I311" s="1" t="s">
        <v>89</v>
      </c>
      <c r="J311" s="1" t="s">
        <v>89</v>
      </c>
      <c r="K311" s="1" t="s">
        <v>89</v>
      </c>
      <c r="L311" s="1" t="s">
        <v>1016</v>
      </c>
      <c r="M311" s="2">
        <v>21.75</v>
      </c>
      <c r="N311" s="30">
        <v>5</v>
      </c>
      <c r="O311" s="30">
        <f>IF(ISNUMBER(SEARCH("IMS",PMS_Catalog[[#This Row],[WU Id]])),"IMS",PMS_Catalog[[#This Row],[UNIQUE PRICE per hour]]*PMS_Catalog[[#This Row],[PMS Effort (Hours)]])</f>
        <v>108.75</v>
      </c>
      <c r="P311" s="30">
        <v>1</v>
      </c>
      <c r="Q311" s="53" t="s">
        <v>88</v>
      </c>
      <c r="R311" s="1" t="s">
        <v>89</v>
      </c>
      <c r="S311" s="1"/>
      <c r="T311" s="31">
        <v>45184</v>
      </c>
      <c r="U311" s="1" t="s">
        <v>1140</v>
      </c>
      <c r="V311" s="31">
        <v>45184</v>
      </c>
      <c r="W311" s="1">
        <f t="shared" ca="1" si="8"/>
        <v>2</v>
      </c>
      <c r="X311" s="1" cm="1">
        <f t="array" aca="1" ref="X311" ca="1">_xlfn.IFS(W310=1,8%,W310=2,10%,W310&gt;2,10%,W310&lt;1,0)</f>
        <v>0.1</v>
      </c>
      <c r="Y311" s="35">
        <f t="shared" ca="1" si="9"/>
        <v>97.875</v>
      </c>
      <c r="Z311" s="40"/>
      <c r="AA311" s="1" t="str">
        <f>LEFT(PMS_Catalog[[#This Row],[WU Id]],3)</f>
        <v>PMS</v>
      </c>
    </row>
    <row r="312" spans="1:27" ht="39" customHeight="1">
      <c r="A312" s="4" t="s">
        <v>1214</v>
      </c>
      <c r="B312" s="4" t="s">
        <v>710</v>
      </c>
      <c r="C312" s="4" t="s">
        <v>92</v>
      </c>
      <c r="D312" s="4" t="s">
        <v>1210</v>
      </c>
      <c r="E312" s="4" t="s">
        <v>1211</v>
      </c>
      <c r="F312" s="11" t="s">
        <v>408</v>
      </c>
      <c r="G312" s="21" t="s">
        <v>1215</v>
      </c>
      <c r="H312" s="21" t="s">
        <v>1216</v>
      </c>
      <c r="I312" s="1" t="s">
        <v>89</v>
      </c>
      <c r="J312" s="1" t="s">
        <v>89</v>
      </c>
      <c r="K312" s="1" t="s">
        <v>89</v>
      </c>
      <c r="L312" s="1" t="s">
        <v>1016</v>
      </c>
      <c r="M312" s="2">
        <v>21.75</v>
      </c>
      <c r="N312" s="30">
        <v>7</v>
      </c>
      <c r="O312" s="30">
        <f>IF(ISNUMBER(SEARCH("IMS",PMS_Catalog[[#This Row],[WU Id]])),"IMS",PMS_Catalog[[#This Row],[UNIQUE PRICE per hour]]*PMS_Catalog[[#This Row],[PMS Effort (Hours)]])</f>
        <v>152.25</v>
      </c>
      <c r="P312" s="30">
        <v>1</v>
      </c>
      <c r="Q312" s="53" t="s">
        <v>88</v>
      </c>
      <c r="R312" s="1" t="s">
        <v>89</v>
      </c>
      <c r="S312" s="1"/>
      <c r="T312" s="31">
        <v>45184</v>
      </c>
      <c r="U312" s="1" t="s">
        <v>1140</v>
      </c>
      <c r="V312" s="31">
        <v>45184</v>
      </c>
      <c r="W312" s="1">
        <f t="shared" ca="1" si="8"/>
        <v>2</v>
      </c>
      <c r="X312" s="1" cm="1">
        <f t="array" aca="1" ref="X312" ca="1">_xlfn.IFS(W311=1,8%,W311=2,10%,W311&gt;2,10%,W311&lt;1,0)</f>
        <v>0.1</v>
      </c>
      <c r="Y312" s="35">
        <f t="shared" ca="1" si="9"/>
        <v>137.02500000000001</v>
      </c>
      <c r="Z312" s="40"/>
      <c r="AA312" s="1" t="str">
        <f>LEFT(PMS_Catalog[[#This Row],[WU Id]],3)</f>
        <v>PMS</v>
      </c>
    </row>
    <row r="313" spans="1:27" ht="39" customHeight="1">
      <c r="A313" s="1" t="s">
        <v>1217</v>
      </c>
      <c r="B313" s="1" t="s">
        <v>710</v>
      </c>
      <c r="C313" s="1" t="s">
        <v>92</v>
      </c>
      <c r="D313" s="1" t="s">
        <v>1210</v>
      </c>
      <c r="E313" s="1" t="s">
        <v>1211</v>
      </c>
      <c r="F313" s="11" t="s">
        <v>408</v>
      </c>
      <c r="G313" s="21" t="s">
        <v>1218</v>
      </c>
      <c r="H313" s="21" t="s">
        <v>1219</v>
      </c>
      <c r="I313" s="1" t="s">
        <v>89</v>
      </c>
      <c r="J313" s="1" t="s">
        <v>89</v>
      </c>
      <c r="K313" s="1" t="s">
        <v>89</v>
      </c>
      <c r="L313" s="1" t="s">
        <v>89</v>
      </c>
      <c r="M313" s="2">
        <v>21.75</v>
      </c>
      <c r="N313" s="30">
        <v>2</v>
      </c>
      <c r="O313" s="30">
        <f>IF(ISNUMBER(SEARCH("IMS",PMS_Catalog[[#This Row],[WU Id]])),"IMS",PMS_Catalog[[#This Row],[UNIQUE PRICE per hour]]*PMS_Catalog[[#This Row],[PMS Effort (Hours)]])</f>
        <v>43.5</v>
      </c>
      <c r="P313" s="30">
        <v>1</v>
      </c>
      <c r="Q313" s="53" t="s">
        <v>88</v>
      </c>
      <c r="R313" s="1" t="s">
        <v>89</v>
      </c>
      <c r="S313" s="1"/>
      <c r="T313" s="31">
        <v>45184</v>
      </c>
      <c r="U313" s="1" t="s">
        <v>1140</v>
      </c>
      <c r="V313" s="31">
        <v>45184</v>
      </c>
      <c r="W313" s="1">
        <f t="shared" ca="1" si="8"/>
        <v>2</v>
      </c>
      <c r="X313" s="1" cm="1">
        <f t="array" aca="1" ref="X313" ca="1">_xlfn.IFS(W312=1,8%,W312=2,10%,W312&gt;2,10%,W312&lt;1,0)</f>
        <v>0.1</v>
      </c>
      <c r="Y313" s="35">
        <f t="shared" ca="1" si="9"/>
        <v>39.15</v>
      </c>
      <c r="Z313" s="40"/>
      <c r="AA313" s="1" t="str">
        <f>LEFT(PMS_Catalog[[#This Row],[WU Id]],3)</f>
        <v>PMS</v>
      </c>
    </row>
    <row r="314" spans="1:27" ht="39" customHeight="1">
      <c r="A314" s="4" t="s">
        <v>1220</v>
      </c>
      <c r="B314" s="4" t="s">
        <v>78</v>
      </c>
      <c r="C314" s="4" t="s">
        <v>79</v>
      </c>
      <c r="D314" s="4" t="s">
        <v>1221</v>
      </c>
      <c r="E314" s="4" t="s">
        <v>462</v>
      </c>
      <c r="F314" s="11" t="s">
        <v>192</v>
      </c>
      <c r="G314" s="21" t="s">
        <v>1222</v>
      </c>
      <c r="H314" s="21" t="s">
        <v>1223</v>
      </c>
      <c r="I314" s="1" t="s">
        <v>89</v>
      </c>
      <c r="J314" s="1" t="s">
        <v>89</v>
      </c>
      <c r="K314" s="1" t="s">
        <v>89</v>
      </c>
      <c r="L314" s="1" t="s">
        <v>533</v>
      </c>
      <c r="M314" s="2">
        <v>21.75</v>
      </c>
      <c r="N314" s="30">
        <v>3</v>
      </c>
      <c r="O314" s="30">
        <f>IF(ISNUMBER(SEARCH("IMS",PMS_Catalog[[#This Row],[WU Id]])),"IMS",PMS_Catalog[[#This Row],[UNIQUE PRICE per hour]]*PMS_Catalog[[#This Row],[PMS Effort (Hours)]])</f>
        <v>65.25</v>
      </c>
      <c r="P314" s="30">
        <v>7</v>
      </c>
      <c r="Q314" s="53" t="s">
        <v>88</v>
      </c>
      <c r="R314" s="1" t="s">
        <v>89</v>
      </c>
      <c r="S314" s="1"/>
      <c r="T314" s="31">
        <v>45184</v>
      </c>
      <c r="U314" s="1" t="s">
        <v>1140</v>
      </c>
      <c r="V314" s="31">
        <v>45184</v>
      </c>
      <c r="W314" s="1">
        <f t="shared" ca="1" si="8"/>
        <v>2</v>
      </c>
      <c r="X314" s="1" cm="1">
        <f t="array" aca="1" ref="X314" ca="1">_xlfn.IFS(W313=1,8%,W313=2,10%,W313&gt;2,10%,W313&lt;1,0)</f>
        <v>0.1</v>
      </c>
      <c r="Y314" s="35">
        <f t="shared" ca="1" si="9"/>
        <v>58.725000000000001</v>
      </c>
      <c r="Z314" s="40"/>
      <c r="AA314" s="1" t="str">
        <f>LEFT(PMS_Catalog[[#This Row],[WU Id]],3)</f>
        <v>PMS</v>
      </c>
    </row>
    <row r="315" spans="1:27" ht="39" customHeight="1">
      <c r="A315" s="4" t="s">
        <v>1224</v>
      </c>
      <c r="B315" s="4" t="s">
        <v>78</v>
      </c>
      <c r="C315" s="4" t="s">
        <v>131</v>
      </c>
      <c r="D315" s="4" t="s">
        <v>217</v>
      </c>
      <c r="E315" s="4" t="s">
        <v>1225</v>
      </c>
      <c r="F315" s="13" t="s">
        <v>140</v>
      </c>
      <c r="G315" s="21" t="s">
        <v>1226</v>
      </c>
      <c r="H315" s="21" t="s">
        <v>1227</v>
      </c>
      <c r="I315" s="1" t="s">
        <v>89</v>
      </c>
      <c r="J315" s="1" t="s">
        <v>89</v>
      </c>
      <c r="K315" s="1" t="s">
        <v>89</v>
      </c>
      <c r="L315" s="1" t="s">
        <v>533</v>
      </c>
      <c r="M315" s="2">
        <v>21.75</v>
      </c>
      <c r="N315" s="34" t="s">
        <v>7</v>
      </c>
      <c r="O315" s="34" t="str">
        <f>IF(ISNUMBER(SEARCH("IMS",PMS_Catalog[[#This Row],[WU Id]])),"IMS",PMS_Catalog[[#This Row],[UNIQUE PRICE per hour]]*PMS_Catalog[[#This Row],[PMS Effort (Hours)]])</f>
        <v>IMS</v>
      </c>
      <c r="P315" s="34">
        <v>10</v>
      </c>
      <c r="Q315" s="53" t="s">
        <v>88</v>
      </c>
      <c r="R315" s="1" t="s">
        <v>89</v>
      </c>
      <c r="S315" s="1"/>
      <c r="T315" s="31">
        <v>45184</v>
      </c>
      <c r="U315" s="1" t="s">
        <v>1140</v>
      </c>
      <c r="V315" s="31">
        <v>45184</v>
      </c>
      <c r="W315" s="1">
        <f t="shared" ca="1" si="8"/>
        <v>2</v>
      </c>
      <c r="X315" s="1" cm="1">
        <f t="array" aca="1" ref="X315" ca="1">_xlfn.IFS(W314=1,8%,W314=2,10%,W314&gt;2,10%,W314&lt;1,0)</f>
        <v>0.1</v>
      </c>
      <c r="Y315" s="35" t="str">
        <f t="shared" si="9"/>
        <v>IMS</v>
      </c>
      <c r="Z315" s="40"/>
      <c r="AA315" s="1" t="str">
        <f>LEFT(PMS_Catalog[[#This Row],[WU Id]],3)</f>
        <v>IMS</v>
      </c>
    </row>
    <row r="316" spans="1:27" ht="39" customHeight="1">
      <c r="A316" s="1" t="s">
        <v>1228</v>
      </c>
      <c r="B316" s="1" t="s">
        <v>78</v>
      </c>
      <c r="C316" s="4" t="s">
        <v>79</v>
      </c>
      <c r="D316" s="1" t="s">
        <v>1229</v>
      </c>
      <c r="E316" s="1" t="s">
        <v>462</v>
      </c>
      <c r="F316" s="11" t="s">
        <v>192</v>
      </c>
      <c r="G316" s="21" t="s">
        <v>1230</v>
      </c>
      <c r="H316" s="21" t="s">
        <v>1231</v>
      </c>
      <c r="I316" s="1" t="s">
        <v>89</v>
      </c>
      <c r="J316" s="1" t="s">
        <v>89</v>
      </c>
      <c r="K316" s="1" t="s">
        <v>89</v>
      </c>
      <c r="L316" s="1" t="s">
        <v>533</v>
      </c>
      <c r="M316" s="2">
        <v>21.75</v>
      </c>
      <c r="N316" s="30">
        <v>3</v>
      </c>
      <c r="O316" s="30">
        <f>IF(ISNUMBER(SEARCH("IMS",PMS_Catalog[[#This Row],[WU Id]])),"IMS",PMS_Catalog[[#This Row],[UNIQUE PRICE per hour]]*PMS_Catalog[[#This Row],[PMS Effort (Hours)]])</f>
        <v>65.25</v>
      </c>
      <c r="P316" s="30">
        <v>7</v>
      </c>
      <c r="Q316" s="53" t="s">
        <v>88</v>
      </c>
      <c r="R316" s="1" t="s">
        <v>89</v>
      </c>
      <c r="S316" s="1"/>
      <c r="T316" s="31">
        <v>45184</v>
      </c>
      <c r="U316" s="1" t="s">
        <v>1140</v>
      </c>
      <c r="V316" s="31">
        <v>45184</v>
      </c>
      <c r="W316" s="1">
        <f t="shared" ca="1" si="8"/>
        <v>2</v>
      </c>
      <c r="X316" s="1" cm="1">
        <f t="array" aca="1" ref="X316" ca="1">_xlfn.IFS(W315=1,8%,W315=2,10%,W315&gt;2,10%,W315&lt;1,0)</f>
        <v>0.1</v>
      </c>
      <c r="Y316" s="35">
        <f t="shared" ca="1" si="9"/>
        <v>58.725000000000001</v>
      </c>
      <c r="Z316" s="40"/>
      <c r="AA316" s="1" t="str">
        <f>LEFT(PMS_Catalog[[#This Row],[WU Id]],3)</f>
        <v>PMS</v>
      </c>
    </row>
    <row r="317" spans="1:27" ht="39" customHeight="1">
      <c r="A317" s="4" t="s">
        <v>1232</v>
      </c>
      <c r="B317" s="4" t="s">
        <v>78</v>
      </c>
      <c r="C317" s="4" t="s">
        <v>79</v>
      </c>
      <c r="D317" s="4" t="s">
        <v>1233</v>
      </c>
      <c r="E317" s="4" t="s">
        <v>1234</v>
      </c>
      <c r="F317" s="11" t="s">
        <v>192</v>
      </c>
      <c r="G317" s="21" t="s">
        <v>1235</v>
      </c>
      <c r="H317" s="21" t="s">
        <v>1236</v>
      </c>
      <c r="I317" s="1" t="s">
        <v>89</v>
      </c>
      <c r="J317" s="1" t="s">
        <v>89</v>
      </c>
      <c r="K317" s="1" t="s">
        <v>89</v>
      </c>
      <c r="L317" s="1" t="s">
        <v>1237</v>
      </c>
      <c r="M317" s="2">
        <v>21.75</v>
      </c>
      <c r="N317" s="30">
        <v>3</v>
      </c>
      <c r="O317" s="30">
        <f>IF(ISNUMBER(SEARCH("IMS",PMS_Catalog[[#This Row],[WU Id]])),"IMS",PMS_Catalog[[#This Row],[UNIQUE PRICE per hour]]*PMS_Catalog[[#This Row],[PMS Effort (Hours)]])</f>
        <v>65.25</v>
      </c>
      <c r="P317" s="30">
        <v>7</v>
      </c>
      <c r="Q317" s="53" t="s">
        <v>88</v>
      </c>
      <c r="R317" s="1" t="s">
        <v>89</v>
      </c>
      <c r="S317" s="1"/>
      <c r="T317" s="31">
        <v>45184</v>
      </c>
      <c r="U317" s="1" t="s">
        <v>1140</v>
      </c>
      <c r="V317" s="31">
        <v>45184</v>
      </c>
      <c r="W317" s="1">
        <f t="shared" ca="1" si="8"/>
        <v>2</v>
      </c>
      <c r="X317" s="1" cm="1">
        <f t="array" aca="1" ref="X317" ca="1">_xlfn.IFS(W316=1,8%,W316=2,10%,W316&gt;2,10%,W316&lt;1,0)</f>
        <v>0.1</v>
      </c>
      <c r="Y317" s="35">
        <f t="shared" ca="1" si="9"/>
        <v>58.725000000000001</v>
      </c>
      <c r="Z317" s="40"/>
      <c r="AA317" s="1" t="str">
        <f>LEFT(PMS_Catalog[[#This Row],[WU Id]],3)</f>
        <v>PMS</v>
      </c>
    </row>
    <row r="318" spans="1:27" ht="39" customHeight="1">
      <c r="A318" s="4" t="s">
        <v>1238</v>
      </c>
      <c r="B318" s="4" t="s">
        <v>78</v>
      </c>
      <c r="C318" s="4" t="s">
        <v>131</v>
      </c>
      <c r="D318" s="4" t="s">
        <v>217</v>
      </c>
      <c r="E318" s="4" t="s">
        <v>1225</v>
      </c>
      <c r="F318" s="11" t="s">
        <v>192</v>
      </c>
      <c r="G318" s="21" t="s">
        <v>1239</v>
      </c>
      <c r="H318" s="21" t="s">
        <v>1240</v>
      </c>
      <c r="I318" s="1" t="s">
        <v>89</v>
      </c>
      <c r="J318" s="1" t="s">
        <v>89</v>
      </c>
      <c r="K318" s="1" t="s">
        <v>89</v>
      </c>
      <c r="L318" s="1" t="s">
        <v>1237</v>
      </c>
      <c r="M318" s="2">
        <v>21.75</v>
      </c>
      <c r="N318" s="30">
        <v>8</v>
      </c>
      <c r="O318" s="30">
        <f>IF(ISNUMBER(SEARCH("IMS",PMS_Catalog[[#This Row],[WU Id]])),"IMS",PMS_Catalog[[#This Row],[UNIQUE PRICE per hour]]*PMS_Catalog[[#This Row],[PMS Effort (Hours)]])</f>
        <v>174</v>
      </c>
      <c r="P318" s="30">
        <v>10</v>
      </c>
      <c r="Q318" s="53" t="s">
        <v>88</v>
      </c>
      <c r="R318" s="1" t="s">
        <v>89</v>
      </c>
      <c r="S318" s="1"/>
      <c r="T318" s="31">
        <v>45184</v>
      </c>
      <c r="U318" s="1" t="s">
        <v>1140</v>
      </c>
      <c r="V318" s="31">
        <v>45184</v>
      </c>
      <c r="W318" s="1">
        <f t="shared" ca="1" si="8"/>
        <v>2</v>
      </c>
      <c r="X318" s="1" cm="1">
        <f t="array" aca="1" ref="X318" ca="1">_xlfn.IFS(W317=1,8%,W317=2,10%,W317&gt;2,10%,W317&lt;1,0)</f>
        <v>0.1</v>
      </c>
      <c r="Y318" s="35">
        <f t="shared" ca="1" si="9"/>
        <v>156.6</v>
      </c>
      <c r="Z318" s="40"/>
      <c r="AA318" s="1" t="str">
        <f>LEFT(PMS_Catalog[[#This Row],[WU Id]],3)</f>
        <v>PMS</v>
      </c>
    </row>
    <row r="319" spans="1:27" ht="39" customHeight="1">
      <c r="A319" s="1" t="s">
        <v>1241</v>
      </c>
      <c r="B319" s="1" t="s">
        <v>78</v>
      </c>
      <c r="C319" s="1" t="s">
        <v>131</v>
      </c>
      <c r="D319" s="1" t="s">
        <v>217</v>
      </c>
      <c r="E319" s="1" t="s">
        <v>1225</v>
      </c>
      <c r="F319" s="11" t="s">
        <v>192</v>
      </c>
      <c r="G319" s="21" t="s">
        <v>1242</v>
      </c>
      <c r="H319" s="21" t="s">
        <v>1243</v>
      </c>
      <c r="I319" s="1" t="s">
        <v>89</v>
      </c>
      <c r="J319" s="1" t="s">
        <v>89</v>
      </c>
      <c r="K319" s="1" t="s">
        <v>89</v>
      </c>
      <c r="L319" s="1" t="s">
        <v>1244</v>
      </c>
      <c r="M319" s="2">
        <v>21.75</v>
      </c>
      <c r="N319" s="30">
        <v>5</v>
      </c>
      <c r="O319" s="30">
        <f>IF(ISNUMBER(SEARCH("IMS",PMS_Catalog[[#This Row],[WU Id]])),"IMS",PMS_Catalog[[#This Row],[UNIQUE PRICE per hour]]*PMS_Catalog[[#This Row],[PMS Effort (Hours)]])</f>
        <v>108.75</v>
      </c>
      <c r="P319" s="30">
        <v>10</v>
      </c>
      <c r="Q319" s="53" t="s">
        <v>88</v>
      </c>
      <c r="R319" s="1" t="s">
        <v>89</v>
      </c>
      <c r="S319" s="1"/>
      <c r="T319" s="31">
        <v>45184</v>
      </c>
      <c r="U319" s="1" t="s">
        <v>1140</v>
      </c>
      <c r="V319" s="31">
        <v>45184</v>
      </c>
      <c r="W319" s="1">
        <f t="shared" ca="1" si="8"/>
        <v>2</v>
      </c>
      <c r="X319" s="1" cm="1">
        <f t="array" aca="1" ref="X319" ca="1">_xlfn.IFS(W318=1,8%,W318=2,10%,W318&gt;2,10%,W318&lt;1,0)</f>
        <v>0.1</v>
      </c>
      <c r="Y319" s="35">
        <f t="shared" ca="1" si="9"/>
        <v>97.875</v>
      </c>
      <c r="Z319" s="40"/>
      <c r="AA319" s="1" t="str">
        <f>LEFT(PMS_Catalog[[#This Row],[WU Id]],3)</f>
        <v>PMS</v>
      </c>
    </row>
    <row r="320" spans="1:27" ht="39" customHeight="1">
      <c r="A320" s="1" t="s">
        <v>1245</v>
      </c>
      <c r="B320" s="1" t="s">
        <v>78</v>
      </c>
      <c r="C320" s="1" t="s">
        <v>131</v>
      </c>
      <c r="D320" s="1" t="s">
        <v>217</v>
      </c>
      <c r="E320" s="1" t="s">
        <v>1225</v>
      </c>
      <c r="F320" s="13" t="s">
        <v>140</v>
      </c>
      <c r="G320" s="21" t="s">
        <v>1246</v>
      </c>
      <c r="H320" s="21" t="s">
        <v>1247</v>
      </c>
      <c r="I320" s="1" t="s">
        <v>89</v>
      </c>
      <c r="J320" s="1" t="s">
        <v>89</v>
      </c>
      <c r="K320" s="1" t="s">
        <v>89</v>
      </c>
      <c r="L320" s="1" t="s">
        <v>1248</v>
      </c>
      <c r="M320" s="2">
        <v>21.75</v>
      </c>
      <c r="N320" s="34" t="s">
        <v>7</v>
      </c>
      <c r="O320" s="34" t="str">
        <f>IF(ISNUMBER(SEARCH("IMS",PMS_Catalog[[#This Row],[WU Id]])),"IMS",PMS_Catalog[[#This Row],[UNIQUE PRICE per hour]]*PMS_Catalog[[#This Row],[PMS Effort (Hours)]])</f>
        <v>IMS</v>
      </c>
      <c r="P320" s="34">
        <v>10</v>
      </c>
      <c r="Q320" s="53" t="s">
        <v>88</v>
      </c>
      <c r="R320" s="1" t="s">
        <v>89</v>
      </c>
      <c r="S320" s="1"/>
      <c r="T320" s="31">
        <v>45184</v>
      </c>
      <c r="U320" s="1" t="s">
        <v>1140</v>
      </c>
      <c r="V320" s="31">
        <v>45184</v>
      </c>
      <c r="W320" s="1">
        <f t="shared" ca="1" si="8"/>
        <v>2</v>
      </c>
      <c r="X320" s="1" cm="1">
        <f t="array" aca="1" ref="X320" ca="1">_xlfn.IFS(W319=1,8%,W319=2,10%,W319&gt;2,10%,W319&lt;1,0)</f>
        <v>0.1</v>
      </c>
      <c r="Y320" s="35" t="str">
        <f t="shared" si="9"/>
        <v>IMS</v>
      </c>
      <c r="Z320" s="40"/>
      <c r="AA320" s="1" t="str">
        <f>LEFT(PMS_Catalog[[#This Row],[WU Id]],3)</f>
        <v>IMS</v>
      </c>
    </row>
    <row r="321" spans="1:27" ht="39" customHeight="1">
      <c r="A321" s="4" t="s">
        <v>1249</v>
      </c>
      <c r="B321" s="4" t="s">
        <v>78</v>
      </c>
      <c r="C321" s="4" t="s">
        <v>79</v>
      </c>
      <c r="D321" s="4" t="s">
        <v>1250</v>
      </c>
      <c r="E321" s="4" t="s">
        <v>462</v>
      </c>
      <c r="F321" s="11" t="s">
        <v>280</v>
      </c>
      <c r="G321" s="21" t="s">
        <v>1251</v>
      </c>
      <c r="H321" s="21" t="s">
        <v>1252</v>
      </c>
      <c r="I321" s="1" t="s">
        <v>89</v>
      </c>
      <c r="J321" s="1" t="s">
        <v>89</v>
      </c>
      <c r="K321" s="1" t="s">
        <v>89</v>
      </c>
      <c r="L321" s="1" t="s">
        <v>1244</v>
      </c>
      <c r="M321" s="2">
        <v>21.75</v>
      </c>
      <c r="N321" s="30">
        <v>3</v>
      </c>
      <c r="O321" s="30">
        <f>IF(ISNUMBER(SEARCH("IMS",PMS_Catalog[[#This Row],[WU Id]])),"IMS",PMS_Catalog[[#This Row],[UNIQUE PRICE per hour]]*PMS_Catalog[[#This Row],[PMS Effort (Hours)]])</f>
        <v>65.25</v>
      </c>
      <c r="P321" s="30">
        <v>7</v>
      </c>
      <c r="Q321" s="53" t="s">
        <v>88</v>
      </c>
      <c r="R321" s="1" t="s">
        <v>89</v>
      </c>
      <c r="S321" s="1"/>
      <c r="T321" s="31">
        <v>45184</v>
      </c>
      <c r="U321" s="1" t="s">
        <v>1140</v>
      </c>
      <c r="V321" s="31">
        <v>45184</v>
      </c>
      <c r="W321" s="1">
        <f t="shared" ca="1" si="8"/>
        <v>2</v>
      </c>
      <c r="X321" s="1" cm="1">
        <f t="array" aca="1" ref="X321" ca="1">_xlfn.IFS(W320=1,8%,W320=2,10%,W320&gt;2,10%,W320&lt;1,0)</f>
        <v>0.1</v>
      </c>
      <c r="Y321" s="35">
        <f t="shared" ca="1" si="9"/>
        <v>58.725000000000001</v>
      </c>
      <c r="Z321" s="40"/>
      <c r="AA321" s="1" t="str">
        <f>LEFT(PMS_Catalog[[#This Row],[WU Id]],3)</f>
        <v>PMS</v>
      </c>
    </row>
    <row r="322" spans="1:27" ht="39" customHeight="1">
      <c r="A322" s="1" t="s">
        <v>1253</v>
      </c>
      <c r="B322" s="1" t="s">
        <v>78</v>
      </c>
      <c r="C322" s="1" t="s">
        <v>901</v>
      </c>
      <c r="D322" s="1" t="s">
        <v>935</v>
      </c>
      <c r="E322" s="1" t="s">
        <v>935</v>
      </c>
      <c r="F322" s="14" t="s">
        <v>81</v>
      </c>
      <c r="G322" s="21" t="s">
        <v>1254</v>
      </c>
      <c r="H322" s="21" t="s">
        <v>1255</v>
      </c>
      <c r="I322" s="4" t="s">
        <v>1102</v>
      </c>
      <c r="J322" s="4" t="s">
        <v>257</v>
      </c>
      <c r="K322" s="4" t="s">
        <v>89</v>
      </c>
      <c r="L322" s="4" t="s">
        <v>522</v>
      </c>
      <c r="M322" s="21">
        <v>21.75</v>
      </c>
      <c r="N322" s="34" t="s">
        <v>7</v>
      </c>
      <c r="O322" s="34" t="str">
        <f>IF(ISNUMBER(SEARCH("IMS",PMS_Catalog[[#This Row],[WU Id]])),"IMS",PMS_Catalog[[#This Row],[UNIQUE PRICE per hour]]*PMS_Catalog[[#This Row],[PMS Effort (Hours)]])</f>
        <v>IMS</v>
      </c>
      <c r="P322" s="34">
        <v>3</v>
      </c>
      <c r="Q322" s="53" t="s">
        <v>88</v>
      </c>
      <c r="R322" s="1" t="s">
        <v>89</v>
      </c>
      <c r="S322" s="1"/>
      <c r="T322" s="31">
        <v>45086</v>
      </c>
      <c r="U322" s="1" t="s">
        <v>278</v>
      </c>
      <c r="V322" s="31">
        <v>45086</v>
      </c>
      <c r="W322" s="1">
        <f t="shared" ref="W322:W376" ca="1" si="10">DATEDIF(V322, TODAY(), "Y")</f>
        <v>3</v>
      </c>
      <c r="X322" s="1" cm="1">
        <f t="array" aca="1" ref="X322" ca="1">_xlfn.IFS(W321=1,8%,W321=2,10%,W321&gt;2,10%,W321&lt;1,0)</f>
        <v>0.1</v>
      </c>
      <c r="Y322" s="35" t="str">
        <f t="shared" ref="Y322:Y376" si="11">IF(ISNUMBER(SEARCH("IMS",A322)),"IMS",O322-O322*X322)</f>
        <v>IMS</v>
      </c>
      <c r="Z322" s="40"/>
      <c r="AA322" s="1" t="str">
        <f>LEFT(PMS_Catalog[[#This Row],[WU Id]],3)</f>
        <v>IMS</v>
      </c>
    </row>
    <row r="323" spans="1:27" ht="39" customHeight="1">
      <c r="A323" s="4" t="s">
        <v>1256</v>
      </c>
      <c r="B323" s="4" t="s">
        <v>78</v>
      </c>
      <c r="C323" s="4" t="s">
        <v>92</v>
      </c>
      <c r="D323" s="4" t="s">
        <v>170</v>
      </c>
      <c r="E323" s="4" t="s">
        <v>170</v>
      </c>
      <c r="F323" s="11" t="s">
        <v>192</v>
      </c>
      <c r="G323" s="21" t="s">
        <v>1257</v>
      </c>
      <c r="H323" s="21" t="s">
        <v>1258</v>
      </c>
      <c r="I323" s="1" t="s">
        <v>89</v>
      </c>
      <c r="J323" s="1" t="s">
        <v>89</v>
      </c>
      <c r="K323" s="1" t="s">
        <v>89</v>
      </c>
      <c r="L323" s="1" t="s">
        <v>1248</v>
      </c>
      <c r="M323" s="2">
        <v>21.75</v>
      </c>
      <c r="N323" s="30">
        <v>20</v>
      </c>
      <c r="O323" s="30">
        <f>IF(ISNUMBER(SEARCH("IMS",PMS_Catalog[[#This Row],[WU Id]])),"IMS",PMS_Catalog[[#This Row],[UNIQUE PRICE per hour]]*PMS_Catalog[[#This Row],[PMS Effort (Hours)]])</f>
        <v>435</v>
      </c>
      <c r="P323" s="30">
        <v>10</v>
      </c>
      <c r="Q323" s="53" t="s">
        <v>88</v>
      </c>
      <c r="R323" s="1" t="s">
        <v>89</v>
      </c>
      <c r="S323" s="1"/>
      <c r="T323" s="31">
        <v>45184</v>
      </c>
      <c r="U323" s="1" t="s">
        <v>1140</v>
      </c>
      <c r="V323" s="31">
        <v>45184</v>
      </c>
      <c r="W323" s="1">
        <f t="shared" ca="1" si="10"/>
        <v>2</v>
      </c>
      <c r="X323" s="1" cm="1">
        <f t="array" aca="1" ref="X323" ca="1">_xlfn.IFS(W322=1,8%,W322=2,10%,W322&gt;2,10%,W322&lt;1,0)</f>
        <v>0.1</v>
      </c>
      <c r="Y323" s="35">
        <f t="shared" ca="1" si="11"/>
        <v>391.5</v>
      </c>
      <c r="Z323" s="40"/>
      <c r="AA323" s="1" t="str">
        <f>LEFT(PMS_Catalog[[#This Row],[WU Id]],3)</f>
        <v>PMS</v>
      </c>
    </row>
    <row r="324" spans="1:27" ht="39" customHeight="1">
      <c r="A324" s="1" t="s">
        <v>1259</v>
      </c>
      <c r="B324" s="1" t="s">
        <v>78</v>
      </c>
      <c r="C324" s="1" t="s">
        <v>92</v>
      </c>
      <c r="D324" s="1" t="s">
        <v>406</v>
      </c>
      <c r="E324" s="1" t="s">
        <v>406</v>
      </c>
      <c r="F324" s="13" t="s">
        <v>140</v>
      </c>
      <c r="G324" s="21" t="s">
        <v>1260</v>
      </c>
      <c r="H324" s="21" t="s">
        <v>1261</v>
      </c>
      <c r="I324" s="1" t="s">
        <v>89</v>
      </c>
      <c r="J324" s="1" t="s">
        <v>89</v>
      </c>
      <c r="K324" s="1" t="s">
        <v>89</v>
      </c>
      <c r="L324" s="1" t="s">
        <v>89</v>
      </c>
      <c r="M324" s="2">
        <v>21.75</v>
      </c>
      <c r="N324" s="34" t="s">
        <v>7</v>
      </c>
      <c r="O324" s="34" t="str">
        <f>IF(ISNUMBER(SEARCH("IMS",PMS_Catalog[[#This Row],[WU Id]])),"IMS",PMS_Catalog[[#This Row],[UNIQUE PRICE per hour]]*PMS_Catalog[[#This Row],[PMS Effort (Hours)]])</f>
        <v>IMS</v>
      </c>
      <c r="P324" s="34" t="s">
        <v>1262</v>
      </c>
      <c r="Q324" s="53" t="s">
        <v>88</v>
      </c>
      <c r="R324" s="1" t="s">
        <v>89</v>
      </c>
      <c r="S324" s="1"/>
      <c r="T324" s="31">
        <v>45247</v>
      </c>
      <c r="U324" s="1" t="s">
        <v>1263</v>
      </c>
      <c r="V324" s="31">
        <v>45247</v>
      </c>
      <c r="W324" s="1">
        <f t="shared" ca="1" si="10"/>
        <v>2</v>
      </c>
      <c r="X324" s="1" cm="1">
        <f t="array" aca="1" ref="X324" ca="1">_xlfn.IFS(W323=1,8%,W323=2,10%,W323&gt;2,10%,W323&lt;1,0)</f>
        <v>0.1</v>
      </c>
      <c r="Y324" s="35" t="str">
        <f t="shared" si="11"/>
        <v>IMS</v>
      </c>
      <c r="Z324" s="40"/>
      <c r="AA324" s="1" t="str">
        <f>LEFT(PMS_Catalog[[#This Row],[WU Id]],3)</f>
        <v>IMS</v>
      </c>
    </row>
    <row r="325" spans="1:27" ht="273.75" customHeight="1">
      <c r="A325" s="4" t="s">
        <v>1264</v>
      </c>
      <c r="B325" s="4" t="s">
        <v>78</v>
      </c>
      <c r="C325" s="4" t="s">
        <v>92</v>
      </c>
      <c r="D325" s="4" t="s">
        <v>1030</v>
      </c>
      <c r="E325" s="4" t="s">
        <v>1265</v>
      </c>
      <c r="F325" s="11" t="s">
        <v>192</v>
      </c>
      <c r="G325" s="21" t="s">
        <v>1266</v>
      </c>
      <c r="H325" s="21" t="s">
        <v>1267</v>
      </c>
      <c r="I325" s="1" t="s">
        <v>89</v>
      </c>
      <c r="J325" s="1" t="s">
        <v>89</v>
      </c>
      <c r="K325" s="1" t="s">
        <v>89</v>
      </c>
      <c r="L325" s="1" t="s">
        <v>1268</v>
      </c>
      <c r="M325" s="2">
        <v>21.75</v>
      </c>
      <c r="N325" s="30">
        <v>0.5</v>
      </c>
      <c r="O325" s="30">
        <f>PMS_Catalog[[#This Row],[PMS Effort (Hours)]]*21.75</f>
        <v>10.875</v>
      </c>
      <c r="P325" s="30">
        <v>7</v>
      </c>
      <c r="Q325" s="53" t="s">
        <v>88</v>
      </c>
      <c r="R325" s="1" t="s">
        <v>89</v>
      </c>
      <c r="S325" s="1"/>
      <c r="T325" s="31">
        <v>45247</v>
      </c>
      <c r="U325" s="1" t="s">
        <v>1263</v>
      </c>
      <c r="V325" s="31">
        <v>45247</v>
      </c>
      <c r="W325" s="1">
        <f t="shared" ca="1" si="10"/>
        <v>2</v>
      </c>
      <c r="X325" s="1" cm="1">
        <f t="array" aca="1" ref="X325" ca="1">_xlfn.IFS(W324=1,8%,W324=2,10%,W324&gt;2,10%,W324&lt;1,0)</f>
        <v>0.1</v>
      </c>
      <c r="Y325" s="35">
        <f t="shared" ca="1" si="11"/>
        <v>9.7874999999999996</v>
      </c>
      <c r="Z325" s="40"/>
      <c r="AA325" s="1" t="str">
        <f>LEFT(PMS_Catalog[[#This Row],[WU Id]],3)</f>
        <v>PMS</v>
      </c>
    </row>
    <row r="326" spans="1:27" ht="101.25" customHeight="1">
      <c r="A326" s="4" t="s">
        <v>1269</v>
      </c>
      <c r="B326" s="4" t="s">
        <v>78</v>
      </c>
      <c r="C326" s="4" t="s">
        <v>92</v>
      </c>
      <c r="D326" s="4" t="s">
        <v>1030</v>
      </c>
      <c r="E326" s="4" t="s">
        <v>1265</v>
      </c>
      <c r="F326" s="11" t="s">
        <v>192</v>
      </c>
      <c r="G326" s="21" t="s">
        <v>1270</v>
      </c>
      <c r="H326" s="21" t="s">
        <v>1271</v>
      </c>
      <c r="I326" s="1" t="s">
        <v>89</v>
      </c>
      <c r="J326" s="1" t="s">
        <v>89</v>
      </c>
      <c r="K326" s="1" t="s">
        <v>89</v>
      </c>
      <c r="L326" s="1" t="s">
        <v>1268</v>
      </c>
      <c r="M326" s="2">
        <v>21.75</v>
      </c>
      <c r="N326" s="30">
        <v>0.75</v>
      </c>
      <c r="O326" s="30">
        <f>PMS_Catalog[[#This Row],[PMS Effort (Hours)]]*21.75</f>
        <v>16.3125</v>
      </c>
      <c r="P326" s="30">
        <v>7</v>
      </c>
      <c r="Q326" s="53" t="s">
        <v>88</v>
      </c>
      <c r="R326" s="1" t="s">
        <v>89</v>
      </c>
      <c r="S326" s="1"/>
      <c r="T326" s="31">
        <v>45247</v>
      </c>
      <c r="U326" s="1" t="s">
        <v>1263</v>
      </c>
      <c r="V326" s="31">
        <v>45247</v>
      </c>
      <c r="W326" s="1">
        <f t="shared" ca="1" si="10"/>
        <v>2</v>
      </c>
      <c r="X326" s="1" cm="1">
        <f t="array" aca="1" ref="X326" ca="1">_xlfn.IFS(W325=1,8%,W325=2,10%,W325&gt;2,10%,W325&lt;1,0)</f>
        <v>0.1</v>
      </c>
      <c r="Y326" s="35">
        <f t="shared" ca="1" si="11"/>
        <v>14.68125</v>
      </c>
      <c r="Z326" s="40"/>
      <c r="AA326" s="1" t="str">
        <f>LEFT(PMS_Catalog[[#This Row],[WU Id]],3)</f>
        <v>PMS</v>
      </c>
    </row>
    <row r="327" spans="1:27" ht="39" customHeight="1">
      <c r="A327" s="1" t="s">
        <v>1272</v>
      </c>
      <c r="B327" s="1" t="s">
        <v>78</v>
      </c>
      <c r="C327" s="1" t="s">
        <v>92</v>
      </c>
      <c r="D327" s="1" t="s">
        <v>1273</v>
      </c>
      <c r="E327" s="1" t="s">
        <v>1274</v>
      </c>
      <c r="F327" s="13" t="s">
        <v>140</v>
      </c>
      <c r="G327" s="21" t="s">
        <v>1260</v>
      </c>
      <c r="H327" s="21" t="s">
        <v>1275</v>
      </c>
      <c r="I327" s="1" t="s">
        <v>89</v>
      </c>
      <c r="J327" s="1" t="s">
        <v>89</v>
      </c>
      <c r="K327" s="1" t="s">
        <v>89</v>
      </c>
      <c r="L327" s="1" t="s">
        <v>89</v>
      </c>
      <c r="M327" s="2">
        <v>21.75</v>
      </c>
      <c r="N327" s="34" t="s">
        <v>7</v>
      </c>
      <c r="O327" s="34" t="str">
        <f>IF(ISNUMBER(SEARCH("IMS",PMS_Catalog[[#This Row],[WU Id]])),"IMS",PMS_Catalog[[#This Row],[UNIQUE PRICE per hour]]*PMS_Catalog[[#This Row],[PMS Effort (Hours)]])</f>
        <v>IMS</v>
      </c>
      <c r="P327" s="34" t="s">
        <v>1262</v>
      </c>
      <c r="Q327" s="53" t="s">
        <v>88</v>
      </c>
      <c r="R327" s="1" t="s">
        <v>89</v>
      </c>
      <c r="S327" s="1"/>
      <c r="T327" s="31">
        <v>45247</v>
      </c>
      <c r="U327" s="1" t="s">
        <v>1263</v>
      </c>
      <c r="V327" s="31">
        <v>45247</v>
      </c>
      <c r="W327" s="1">
        <f t="shared" ca="1" si="10"/>
        <v>2</v>
      </c>
      <c r="X327" s="1" cm="1">
        <f t="array" aca="1" ref="X327" ca="1">_xlfn.IFS(W326=1,8%,W326=2,10%,W326&gt;2,10%,W326&lt;1,0)</f>
        <v>0.1</v>
      </c>
      <c r="Y327" s="35" t="str">
        <f t="shared" si="11"/>
        <v>IMS</v>
      </c>
      <c r="Z327" s="40"/>
      <c r="AA327" s="1" t="str">
        <f>LEFT(PMS_Catalog[[#This Row],[WU Id]],3)</f>
        <v>IMS</v>
      </c>
    </row>
    <row r="328" spans="1:27" ht="39" customHeight="1">
      <c r="A328" s="4" t="s">
        <v>1276</v>
      </c>
      <c r="B328" s="4" t="s">
        <v>78</v>
      </c>
      <c r="C328" s="4" t="s">
        <v>131</v>
      </c>
      <c r="D328" s="4" t="s">
        <v>1277</v>
      </c>
      <c r="E328" s="4" t="s">
        <v>1278</v>
      </c>
      <c r="F328" s="11" t="s">
        <v>192</v>
      </c>
      <c r="G328" s="21" t="s">
        <v>1279</v>
      </c>
      <c r="H328" s="21" t="s">
        <v>1280</v>
      </c>
      <c r="I328" s="1" t="s">
        <v>89</v>
      </c>
      <c r="J328" s="1" t="s">
        <v>89</v>
      </c>
      <c r="K328" s="1" t="s">
        <v>89</v>
      </c>
      <c r="L328" s="1" t="s">
        <v>1281</v>
      </c>
      <c r="M328" s="2">
        <v>21.75</v>
      </c>
      <c r="N328" s="30">
        <v>2</v>
      </c>
      <c r="O328" s="30">
        <f>IF(ISNUMBER(SEARCH("IMS",PMS_Catalog[[#This Row],[WU Id]])),"IMS",PMS_Catalog[[#This Row],[UNIQUE PRICE per hour]]*PMS_Catalog[[#This Row],[PMS Effort (Hours)]])</f>
        <v>43.5</v>
      </c>
      <c r="P328" s="30">
        <v>3</v>
      </c>
      <c r="Q328" s="53" t="s">
        <v>88</v>
      </c>
      <c r="R328" s="1" t="s">
        <v>89</v>
      </c>
      <c r="S328" s="1"/>
      <c r="T328" s="31">
        <v>45247</v>
      </c>
      <c r="U328" s="1" t="s">
        <v>1263</v>
      </c>
      <c r="V328" s="31">
        <v>45247</v>
      </c>
      <c r="W328" s="1">
        <f t="shared" ca="1" si="10"/>
        <v>2</v>
      </c>
      <c r="X328" s="1" cm="1">
        <f t="array" aca="1" ref="X328" ca="1">_xlfn.IFS(W327=1,8%,W327=2,10%,W327&gt;2,10%,W327&lt;1,0)</f>
        <v>0.1</v>
      </c>
      <c r="Y328" s="35">
        <f t="shared" ca="1" si="11"/>
        <v>39.15</v>
      </c>
      <c r="Z328" s="40"/>
      <c r="AA328" s="1" t="str">
        <f>LEFT(PMS_Catalog[[#This Row],[WU Id]],3)</f>
        <v>PMS</v>
      </c>
    </row>
    <row r="329" spans="1:27" ht="39" customHeight="1">
      <c r="A329" s="4" t="s">
        <v>1282</v>
      </c>
      <c r="B329" s="4" t="s">
        <v>78</v>
      </c>
      <c r="C329" s="4" t="s">
        <v>131</v>
      </c>
      <c r="D329" s="4" t="s">
        <v>1277</v>
      </c>
      <c r="E329" s="4" t="s">
        <v>1283</v>
      </c>
      <c r="F329" s="11" t="s">
        <v>192</v>
      </c>
      <c r="G329" s="21" t="s">
        <v>1284</v>
      </c>
      <c r="H329" s="21" t="s">
        <v>1285</v>
      </c>
      <c r="I329" s="1" t="s">
        <v>89</v>
      </c>
      <c r="J329" s="1" t="s">
        <v>89</v>
      </c>
      <c r="K329" s="1" t="s">
        <v>89</v>
      </c>
      <c r="L329" s="1" t="s">
        <v>224</v>
      </c>
      <c r="M329" s="2">
        <v>21.75</v>
      </c>
      <c r="N329" s="30">
        <v>8</v>
      </c>
      <c r="O329" s="30">
        <f>IF(ISNUMBER(SEARCH("IMS",PMS_Catalog[[#This Row],[WU Id]])),"IMS",PMS_Catalog[[#This Row],[UNIQUE PRICE per hour]]*PMS_Catalog[[#This Row],[PMS Effort (Hours)]])</f>
        <v>174</v>
      </c>
      <c r="P329" s="30">
        <v>5</v>
      </c>
      <c r="Q329" s="53" t="s">
        <v>88</v>
      </c>
      <c r="R329" s="1" t="s">
        <v>89</v>
      </c>
      <c r="S329" s="1"/>
      <c r="T329" s="31">
        <v>45247</v>
      </c>
      <c r="U329" s="1" t="s">
        <v>1263</v>
      </c>
      <c r="V329" s="31">
        <v>45247</v>
      </c>
      <c r="W329" s="1">
        <f t="shared" ca="1" si="10"/>
        <v>2</v>
      </c>
      <c r="X329" s="1" cm="1">
        <f t="array" aca="1" ref="X329" ca="1">_xlfn.IFS(W328=1,8%,W328=2,10%,W328&gt;2,10%,W328&lt;1,0)</f>
        <v>0.1</v>
      </c>
      <c r="Y329" s="35">
        <f t="shared" ca="1" si="11"/>
        <v>156.6</v>
      </c>
      <c r="Z329" s="40"/>
      <c r="AA329" s="1" t="str">
        <f>LEFT(PMS_Catalog[[#This Row],[WU Id]],3)</f>
        <v>PMS</v>
      </c>
    </row>
    <row r="330" spans="1:27" ht="39" customHeight="1">
      <c r="A330" s="1" t="s">
        <v>1286</v>
      </c>
      <c r="B330" s="1" t="s">
        <v>78</v>
      </c>
      <c r="C330" s="1" t="s">
        <v>131</v>
      </c>
      <c r="D330" s="1" t="s">
        <v>1277</v>
      </c>
      <c r="E330" s="1" t="s">
        <v>1283</v>
      </c>
      <c r="F330" s="13" t="s">
        <v>140</v>
      </c>
      <c r="G330" s="21" t="s">
        <v>1287</v>
      </c>
      <c r="H330" s="21" t="s">
        <v>1288</v>
      </c>
      <c r="I330" s="1" t="s">
        <v>89</v>
      </c>
      <c r="J330" s="1" t="s">
        <v>89</v>
      </c>
      <c r="K330" s="1" t="s">
        <v>89</v>
      </c>
      <c r="L330" s="1" t="s">
        <v>1244</v>
      </c>
      <c r="M330" s="2">
        <v>21.75</v>
      </c>
      <c r="N330" s="34" t="s">
        <v>7</v>
      </c>
      <c r="O330" s="34" t="str">
        <f>IF(ISNUMBER(SEARCH("IMS",PMS_Catalog[[#This Row],[WU Id]])),"IMS",PMS_Catalog[[#This Row],[UNIQUE PRICE per hour]]*PMS_Catalog[[#This Row],[PMS Effort (Hours)]])</f>
        <v>IMS</v>
      </c>
      <c r="P330" s="34">
        <v>3</v>
      </c>
      <c r="Q330" s="53" t="s">
        <v>88</v>
      </c>
      <c r="R330" s="1" t="s">
        <v>89</v>
      </c>
      <c r="S330" s="1"/>
      <c r="T330" s="31">
        <v>45247</v>
      </c>
      <c r="U330" s="1" t="s">
        <v>1263</v>
      </c>
      <c r="V330" s="31">
        <v>45247</v>
      </c>
      <c r="W330" s="1">
        <f t="shared" ca="1" si="10"/>
        <v>2</v>
      </c>
      <c r="X330" s="1" cm="1">
        <f t="array" aca="1" ref="X330" ca="1">_xlfn.IFS(W329=1,8%,W329=2,10%,W329&gt;2,10%,W329&lt;1,0)</f>
        <v>0.1</v>
      </c>
      <c r="Y330" s="35" t="str">
        <f t="shared" si="11"/>
        <v>IMS</v>
      </c>
      <c r="Z330" s="40"/>
      <c r="AA330" s="1" t="str">
        <f>LEFT(PMS_Catalog[[#This Row],[WU Id]],3)</f>
        <v>IMS</v>
      </c>
    </row>
    <row r="331" spans="1:27" ht="39" customHeight="1">
      <c r="A331" s="4" t="s">
        <v>1289</v>
      </c>
      <c r="B331" s="4" t="s">
        <v>78</v>
      </c>
      <c r="C331" s="4" t="s">
        <v>131</v>
      </c>
      <c r="D331" s="4" t="s">
        <v>1277</v>
      </c>
      <c r="E331" s="4" t="s">
        <v>1290</v>
      </c>
      <c r="F331" s="13" t="s">
        <v>140</v>
      </c>
      <c r="G331" s="21" t="s">
        <v>1291</v>
      </c>
      <c r="H331" s="21" t="s">
        <v>1292</v>
      </c>
      <c r="I331" s="1" t="s">
        <v>89</v>
      </c>
      <c r="J331" s="1" t="s">
        <v>89</v>
      </c>
      <c r="K331" s="1" t="s">
        <v>89</v>
      </c>
      <c r="L331" s="1" t="s">
        <v>1244</v>
      </c>
      <c r="M331" s="2">
        <v>21.75</v>
      </c>
      <c r="N331" s="34" t="s">
        <v>7</v>
      </c>
      <c r="O331" s="34" t="str">
        <f>IF(ISNUMBER(SEARCH("IMS",PMS_Catalog[[#This Row],[WU Id]])),"IMS",PMS_Catalog[[#This Row],[UNIQUE PRICE per hour]]*PMS_Catalog[[#This Row],[PMS Effort (Hours)]])</f>
        <v>IMS</v>
      </c>
      <c r="P331" s="34">
        <v>10</v>
      </c>
      <c r="Q331" s="53" t="s">
        <v>88</v>
      </c>
      <c r="R331" s="1" t="s">
        <v>89</v>
      </c>
      <c r="S331" s="1"/>
      <c r="T331" s="31">
        <v>45247</v>
      </c>
      <c r="U331" s="1" t="s">
        <v>1263</v>
      </c>
      <c r="V331" s="31">
        <v>45247</v>
      </c>
      <c r="W331" s="1">
        <f t="shared" ca="1" si="10"/>
        <v>2</v>
      </c>
      <c r="X331" s="1" cm="1">
        <f t="array" aca="1" ref="X331" ca="1">_xlfn.IFS(W330=1,8%,W330=2,10%,W330&gt;2,10%,W330&lt;1,0)</f>
        <v>0.1</v>
      </c>
      <c r="Y331" s="35" t="str">
        <f t="shared" si="11"/>
        <v>IMS</v>
      </c>
      <c r="Z331" s="40"/>
      <c r="AA331" s="1" t="str">
        <f>LEFT(PMS_Catalog[[#This Row],[WU Id]],3)</f>
        <v>IMS</v>
      </c>
    </row>
    <row r="332" spans="1:27" ht="39" customHeight="1">
      <c r="A332" s="4" t="s">
        <v>1293</v>
      </c>
      <c r="B332" s="4" t="s">
        <v>78</v>
      </c>
      <c r="C332" s="4" t="s">
        <v>131</v>
      </c>
      <c r="D332" s="4" t="s">
        <v>1277</v>
      </c>
      <c r="E332" s="4" t="s">
        <v>1283</v>
      </c>
      <c r="F332" s="13" t="s">
        <v>140</v>
      </c>
      <c r="G332" s="21" t="s">
        <v>1294</v>
      </c>
      <c r="H332" s="21" t="s">
        <v>1288</v>
      </c>
      <c r="I332" s="1" t="s">
        <v>89</v>
      </c>
      <c r="J332" s="1" t="s">
        <v>89</v>
      </c>
      <c r="K332" s="1" t="s">
        <v>89</v>
      </c>
      <c r="L332" s="1" t="s">
        <v>1244</v>
      </c>
      <c r="M332" s="2">
        <v>21.75</v>
      </c>
      <c r="N332" s="34" t="s">
        <v>7</v>
      </c>
      <c r="O332" s="34" t="str">
        <f>IF(ISNUMBER(SEARCH("IMS",PMS_Catalog[[#This Row],[WU Id]])),"IMS",PMS_Catalog[[#This Row],[UNIQUE PRICE per hour]]*PMS_Catalog[[#This Row],[PMS Effort (Hours)]])</f>
        <v>IMS</v>
      </c>
      <c r="P332" s="34">
        <v>10</v>
      </c>
      <c r="Q332" s="53" t="s">
        <v>88</v>
      </c>
      <c r="R332" s="1" t="s">
        <v>89</v>
      </c>
      <c r="S332" s="1"/>
      <c r="T332" s="31">
        <v>45247</v>
      </c>
      <c r="U332" s="1" t="s">
        <v>1263</v>
      </c>
      <c r="V332" s="31">
        <v>45247</v>
      </c>
      <c r="W332" s="1">
        <f t="shared" ca="1" si="10"/>
        <v>2</v>
      </c>
      <c r="X332" s="1" cm="1">
        <f t="array" aca="1" ref="X332" ca="1">_xlfn.IFS(W331=1,8%,W331=2,10%,W331&gt;2,10%,W331&lt;1,0)</f>
        <v>0.1</v>
      </c>
      <c r="Y332" s="35" t="str">
        <f t="shared" si="11"/>
        <v>IMS</v>
      </c>
      <c r="Z332" s="40"/>
      <c r="AA332" s="1" t="str">
        <f>LEFT(PMS_Catalog[[#This Row],[WU Id]],3)</f>
        <v>IMS</v>
      </c>
    </row>
    <row r="333" spans="1:27" ht="92.25" customHeight="1">
      <c r="A333" s="4" t="s">
        <v>1295</v>
      </c>
      <c r="B333" s="4" t="s">
        <v>78</v>
      </c>
      <c r="C333" s="4" t="s">
        <v>79</v>
      </c>
      <c r="D333" s="4" t="s">
        <v>1296</v>
      </c>
      <c r="E333" s="4" t="s">
        <v>1296</v>
      </c>
      <c r="F333" s="13" t="s">
        <v>140</v>
      </c>
      <c r="G333" s="21" t="s">
        <v>1297</v>
      </c>
      <c r="H333" s="21" t="s">
        <v>1298</v>
      </c>
      <c r="I333" s="1" t="s">
        <v>89</v>
      </c>
      <c r="J333" s="1" t="s">
        <v>89</v>
      </c>
      <c r="K333" s="1" t="s">
        <v>89</v>
      </c>
      <c r="L333" s="1" t="s">
        <v>413</v>
      </c>
      <c r="M333" s="2">
        <v>21.75</v>
      </c>
      <c r="N333" s="34" t="s">
        <v>7</v>
      </c>
      <c r="O333" s="34" t="str">
        <f>IF(ISNUMBER(SEARCH("IMS",PMS_Catalog[[#This Row],[WU Id]])),"IMS",PMS_Catalog[[#This Row],[UNIQUE PRICE per hour]]*PMS_Catalog[[#This Row],[PMS Effort (Hours)]])</f>
        <v>IMS</v>
      </c>
      <c r="P333" s="34">
        <v>7</v>
      </c>
      <c r="Q333" s="53" t="s">
        <v>88</v>
      </c>
      <c r="R333" s="1" t="s">
        <v>89</v>
      </c>
      <c r="S333" s="1"/>
      <c r="T333" s="31">
        <v>45247</v>
      </c>
      <c r="U333" s="1" t="s">
        <v>1263</v>
      </c>
      <c r="V333" s="31">
        <v>45247</v>
      </c>
      <c r="W333" s="1">
        <f t="shared" ref="W333:W363" ca="1" si="12">DATEDIF(V333, TODAY(), "Y")</f>
        <v>2</v>
      </c>
      <c r="X333" s="1" cm="1">
        <f t="array" aca="1" ref="X333" ca="1">_xlfn.IFS(W332=1,8%,W332=2,10%,W332&gt;2,10%,W332&lt;1,0)</f>
        <v>0.1</v>
      </c>
      <c r="Y333" s="35" t="str">
        <f t="shared" si="11"/>
        <v>IMS</v>
      </c>
      <c r="Z333" s="40"/>
      <c r="AA333" s="1" t="str">
        <f>LEFT(PMS_Catalog[[#This Row],[WU Id]],3)</f>
        <v>IMS</v>
      </c>
    </row>
    <row r="334" spans="1:27" ht="92.25" customHeight="1">
      <c r="A334" s="4" t="s">
        <v>1299</v>
      </c>
      <c r="B334" s="4" t="s">
        <v>78</v>
      </c>
      <c r="C334" s="4" t="s">
        <v>79</v>
      </c>
      <c r="D334" s="4" t="s">
        <v>1296</v>
      </c>
      <c r="E334" s="4" t="s">
        <v>1296</v>
      </c>
      <c r="F334" s="14" t="s">
        <v>81</v>
      </c>
      <c r="G334" s="21" t="s">
        <v>1300</v>
      </c>
      <c r="H334" s="21" t="s">
        <v>1301</v>
      </c>
      <c r="I334" s="1" t="s">
        <v>89</v>
      </c>
      <c r="J334" s="75" t="s">
        <v>1302</v>
      </c>
      <c r="K334" s="1" t="s">
        <v>89</v>
      </c>
      <c r="L334" s="1" t="s">
        <v>413</v>
      </c>
      <c r="M334" s="2">
        <v>21.75</v>
      </c>
      <c r="N334" s="34" t="s">
        <v>7</v>
      </c>
      <c r="O334" s="34" t="str">
        <f>IF(ISNUMBER(SEARCH("IMS",PMS_Catalog[[#This Row],[WU Id]])),"IMS",PMS_Catalog[[#This Row],[UNIQUE PRICE per hour]]*PMS_Catalog[[#This Row],[PMS Effort (Hours)]])</f>
        <v>IMS</v>
      </c>
      <c r="P334" s="34">
        <v>3</v>
      </c>
      <c r="Q334" s="53" t="s">
        <v>88</v>
      </c>
      <c r="R334" s="1" t="s">
        <v>89</v>
      </c>
      <c r="S334" s="1"/>
      <c r="T334" s="31">
        <v>45247</v>
      </c>
      <c r="U334" s="1" t="s">
        <v>1263</v>
      </c>
      <c r="V334" s="31">
        <v>45247</v>
      </c>
      <c r="W334" s="1">
        <f t="shared" ca="1" si="12"/>
        <v>2</v>
      </c>
      <c r="X334" s="1" cm="1">
        <f t="array" aca="1" ref="X334" ca="1">_xlfn.IFS(W333=1,8%,W333=2,10%,W333&gt;2,10%,W333&lt;1,0)</f>
        <v>0.1</v>
      </c>
      <c r="Y334" s="35" t="str">
        <f t="shared" si="11"/>
        <v>IMS</v>
      </c>
      <c r="Z334" s="40"/>
      <c r="AA334" s="1" t="str">
        <f>LEFT(PMS_Catalog[[#This Row],[WU Id]],3)</f>
        <v>IMS</v>
      </c>
    </row>
    <row r="335" spans="1:27" ht="39" customHeight="1">
      <c r="A335" s="1" t="s">
        <v>1303</v>
      </c>
      <c r="B335" s="1" t="s">
        <v>78</v>
      </c>
      <c r="C335" s="4" t="s">
        <v>79</v>
      </c>
      <c r="D335" s="1" t="s">
        <v>1296</v>
      </c>
      <c r="E335" s="1" t="s">
        <v>1296</v>
      </c>
      <c r="F335" s="14" t="s">
        <v>95</v>
      </c>
      <c r="G335" s="21" t="s">
        <v>1304</v>
      </c>
      <c r="H335" s="21" t="s">
        <v>1305</v>
      </c>
      <c r="I335" s="1" t="s">
        <v>89</v>
      </c>
      <c r="J335" s="1" t="s">
        <v>89</v>
      </c>
      <c r="K335" s="1" t="s">
        <v>89</v>
      </c>
      <c r="L335" s="1" t="s">
        <v>413</v>
      </c>
      <c r="M335" s="2">
        <v>21.75</v>
      </c>
      <c r="N335" s="34" t="s">
        <v>7</v>
      </c>
      <c r="O335" s="34" t="str">
        <f>IF(ISNUMBER(SEARCH("IMS",PMS_Catalog[[#This Row],[WU Id]])),"IMS",PMS_Catalog[[#This Row],[UNIQUE PRICE per hour]]*PMS_Catalog[[#This Row],[PMS Effort (Hours)]])</f>
        <v>IMS</v>
      </c>
      <c r="P335" s="34">
        <v>3</v>
      </c>
      <c r="Q335" s="53" t="s">
        <v>88</v>
      </c>
      <c r="R335" s="1" t="s">
        <v>89</v>
      </c>
      <c r="S335" s="1"/>
      <c r="T335" s="31">
        <v>45247</v>
      </c>
      <c r="U335" s="1" t="s">
        <v>1263</v>
      </c>
      <c r="V335" s="31">
        <v>45247</v>
      </c>
      <c r="W335" s="1">
        <f t="shared" ca="1" si="12"/>
        <v>2</v>
      </c>
      <c r="X335" s="1" cm="1">
        <f t="array" aca="1" ref="X335" ca="1">_xlfn.IFS(W334=1,8%,W334=2,10%,W334&gt;2,10%,W334&lt;1,0)</f>
        <v>0.1</v>
      </c>
      <c r="Y335" s="35" t="str">
        <f t="shared" si="11"/>
        <v>IMS</v>
      </c>
      <c r="Z335" s="40"/>
      <c r="AA335" s="1" t="str">
        <f>LEFT(PMS_Catalog[[#This Row],[WU Id]],3)</f>
        <v>IMS</v>
      </c>
    </row>
    <row r="336" spans="1:27" ht="150.75" customHeight="1">
      <c r="A336" s="4" t="s">
        <v>1306</v>
      </c>
      <c r="B336" s="4" t="s">
        <v>78</v>
      </c>
      <c r="C336" s="4" t="s">
        <v>79</v>
      </c>
      <c r="D336" s="4" t="s">
        <v>1296</v>
      </c>
      <c r="E336" s="4" t="s">
        <v>1296</v>
      </c>
      <c r="F336" s="14" t="s">
        <v>81</v>
      </c>
      <c r="G336" s="21" t="s">
        <v>1307</v>
      </c>
      <c r="H336" s="21" t="s">
        <v>1308</v>
      </c>
      <c r="I336" s="1" t="s">
        <v>89</v>
      </c>
      <c r="J336" s="1" t="s">
        <v>89</v>
      </c>
      <c r="K336" s="1" t="s">
        <v>89</v>
      </c>
      <c r="L336" s="1" t="s">
        <v>518</v>
      </c>
      <c r="M336" s="2">
        <v>21.75</v>
      </c>
      <c r="N336" s="34" t="s">
        <v>7</v>
      </c>
      <c r="O336" s="34" t="str">
        <f>IF(ISNUMBER(SEARCH("IMS",PMS_Catalog[[#This Row],[WU Id]])),"IMS",PMS_Catalog[[#This Row],[UNIQUE PRICE per hour]]*PMS_Catalog[[#This Row],[PMS Effort (Hours)]])</f>
        <v>IMS</v>
      </c>
      <c r="P336" s="34">
        <v>3</v>
      </c>
      <c r="Q336" s="53" t="s">
        <v>88</v>
      </c>
      <c r="R336" s="1" t="s">
        <v>89</v>
      </c>
      <c r="S336" s="1"/>
      <c r="T336" s="31">
        <v>45247</v>
      </c>
      <c r="U336" s="1" t="s">
        <v>1263</v>
      </c>
      <c r="V336" s="31">
        <v>45247</v>
      </c>
      <c r="W336" s="1">
        <f t="shared" ca="1" si="12"/>
        <v>2</v>
      </c>
      <c r="X336" s="1" cm="1">
        <f t="array" aca="1" ref="X336" ca="1">_xlfn.IFS(W335=1,8%,W335=2,10%,W335&gt;2,10%,W335&lt;1,0)</f>
        <v>0.1</v>
      </c>
      <c r="Y336" s="35" t="str">
        <f t="shared" si="11"/>
        <v>IMS</v>
      </c>
      <c r="Z336" s="40"/>
      <c r="AA336" s="1" t="str">
        <f>LEFT(PMS_Catalog[[#This Row],[WU Id]],3)</f>
        <v>IMS</v>
      </c>
    </row>
    <row r="337" spans="1:27" ht="120.75" customHeight="1">
      <c r="A337" s="4" t="s">
        <v>1309</v>
      </c>
      <c r="B337" s="4" t="s">
        <v>78</v>
      </c>
      <c r="C337" s="4" t="s">
        <v>79</v>
      </c>
      <c r="D337" s="4" t="s">
        <v>1296</v>
      </c>
      <c r="E337" s="4" t="s">
        <v>1296</v>
      </c>
      <c r="F337" s="14" t="s">
        <v>699</v>
      </c>
      <c r="G337" s="21" t="s">
        <v>1310</v>
      </c>
      <c r="H337" s="21" t="s">
        <v>1311</v>
      </c>
      <c r="I337" s="1" t="s">
        <v>89</v>
      </c>
      <c r="J337" s="1" t="s">
        <v>89</v>
      </c>
      <c r="K337" s="1" t="s">
        <v>89</v>
      </c>
      <c r="L337" s="1" t="s">
        <v>1312</v>
      </c>
      <c r="M337" s="2">
        <v>21.75</v>
      </c>
      <c r="N337" s="34" t="s">
        <v>7</v>
      </c>
      <c r="O337" s="34" t="str">
        <f>IF(ISNUMBER(SEARCH("IMS",PMS_Catalog[[#This Row],[WU Id]])),"IMS",PMS_Catalog[[#This Row],[UNIQUE PRICE per hour]]*PMS_Catalog[[#This Row],[PMS Effort (Hours)]])</f>
        <v>IMS</v>
      </c>
      <c r="P337" s="34">
        <v>15</v>
      </c>
      <c r="Q337" s="53" t="s">
        <v>88</v>
      </c>
      <c r="R337" s="1" t="s">
        <v>89</v>
      </c>
      <c r="S337" s="1"/>
      <c r="T337" s="31">
        <v>45247</v>
      </c>
      <c r="U337" s="1" t="s">
        <v>1263</v>
      </c>
      <c r="V337" s="31">
        <v>45247</v>
      </c>
      <c r="W337" s="1">
        <f t="shared" ca="1" si="12"/>
        <v>2</v>
      </c>
      <c r="X337" s="1" cm="1">
        <f t="array" aca="1" ref="X337" ca="1">_xlfn.IFS(W336=1,8%,W336=2,10%,W336&gt;2,10%,W336&lt;1,0)</f>
        <v>0.1</v>
      </c>
      <c r="Y337" s="35" t="str">
        <f t="shared" si="11"/>
        <v>IMS</v>
      </c>
      <c r="Z337" s="40"/>
      <c r="AA337" s="1" t="str">
        <f>LEFT(PMS_Catalog[[#This Row],[WU Id]],3)</f>
        <v>IMS</v>
      </c>
    </row>
    <row r="338" spans="1:27" ht="161.1" customHeight="1">
      <c r="A338" s="1" t="s">
        <v>1313</v>
      </c>
      <c r="B338" s="1" t="s">
        <v>78</v>
      </c>
      <c r="C338" s="4" t="s">
        <v>79</v>
      </c>
      <c r="D338" s="1" t="s">
        <v>1296</v>
      </c>
      <c r="E338" s="1" t="s">
        <v>1296</v>
      </c>
      <c r="F338" s="14" t="s">
        <v>125</v>
      </c>
      <c r="G338" s="21" t="s">
        <v>1310</v>
      </c>
      <c r="H338" s="21" t="s">
        <v>1311</v>
      </c>
      <c r="I338" s="1" t="s">
        <v>89</v>
      </c>
      <c r="J338" s="1" t="s">
        <v>89</v>
      </c>
      <c r="K338" s="1" t="s">
        <v>89</v>
      </c>
      <c r="L338" s="1" t="s">
        <v>1312</v>
      </c>
      <c r="M338" s="2">
        <v>21.75</v>
      </c>
      <c r="N338" s="34" t="s">
        <v>7</v>
      </c>
      <c r="O338" s="34" t="str">
        <f>IF(ISNUMBER(SEARCH("IMS",PMS_Catalog[[#This Row],[WU Id]])),"IMS",PMS_Catalog[[#This Row],[UNIQUE PRICE per hour]]*PMS_Catalog[[#This Row],[PMS Effort (Hours)]])</f>
        <v>IMS</v>
      </c>
      <c r="P338" s="34">
        <v>15</v>
      </c>
      <c r="Q338" s="53" t="s">
        <v>88</v>
      </c>
      <c r="R338" s="1" t="s">
        <v>89</v>
      </c>
      <c r="S338" s="1"/>
      <c r="T338" s="31">
        <v>45247</v>
      </c>
      <c r="U338" s="1" t="s">
        <v>1263</v>
      </c>
      <c r="V338" s="31">
        <v>45247</v>
      </c>
      <c r="W338" s="1">
        <f t="shared" ca="1" si="12"/>
        <v>2</v>
      </c>
      <c r="X338" s="1" cm="1">
        <f t="array" aca="1" ref="X338" ca="1">_xlfn.IFS(W337=1,8%,W337=2,10%,W337&gt;2,10%,W337&lt;1,0)</f>
        <v>0.1</v>
      </c>
      <c r="Y338" s="35" t="str">
        <f t="shared" si="11"/>
        <v>IMS</v>
      </c>
      <c r="Z338" s="40"/>
      <c r="AA338" s="1" t="str">
        <f>LEFT(PMS_Catalog[[#This Row],[WU Id]],3)</f>
        <v>IMS</v>
      </c>
    </row>
    <row r="339" spans="1:27" ht="142.5" customHeight="1">
      <c r="A339" s="4" t="s">
        <v>1314</v>
      </c>
      <c r="B339" s="4" t="s">
        <v>78</v>
      </c>
      <c r="C339" s="4" t="s">
        <v>79</v>
      </c>
      <c r="D339" s="4" t="s">
        <v>1296</v>
      </c>
      <c r="E339" s="4" t="s">
        <v>1296</v>
      </c>
      <c r="F339" s="13" t="s">
        <v>140</v>
      </c>
      <c r="G339" s="21" t="s">
        <v>1315</v>
      </c>
      <c r="H339" s="21" t="s">
        <v>1316</v>
      </c>
      <c r="I339" s="1" t="s">
        <v>89</v>
      </c>
      <c r="J339" s="1" t="s">
        <v>89</v>
      </c>
      <c r="K339" s="1" t="s">
        <v>89</v>
      </c>
      <c r="L339" s="1" t="s">
        <v>413</v>
      </c>
      <c r="M339" s="2">
        <v>21.75</v>
      </c>
      <c r="N339" s="34" t="s">
        <v>7</v>
      </c>
      <c r="O339" s="34" t="str">
        <f>IF(ISNUMBER(SEARCH("IMS",PMS_Catalog[[#This Row],[WU Id]])),"IMS",PMS_Catalog[[#This Row],[UNIQUE PRICE per hour]]*PMS_Catalog[[#This Row],[PMS Effort (Hours)]])</f>
        <v>IMS</v>
      </c>
      <c r="P339" s="34">
        <v>56</v>
      </c>
      <c r="Q339" s="53" t="s">
        <v>88</v>
      </c>
      <c r="R339" s="1" t="s">
        <v>89</v>
      </c>
      <c r="S339" s="1"/>
      <c r="T339" s="31">
        <v>45247</v>
      </c>
      <c r="U339" s="1" t="s">
        <v>1263</v>
      </c>
      <c r="V339" s="31">
        <v>45247</v>
      </c>
      <c r="W339" s="1">
        <f t="shared" ca="1" si="12"/>
        <v>2</v>
      </c>
      <c r="X339" s="1" cm="1">
        <f t="array" aca="1" ref="X339" ca="1">_xlfn.IFS(W338=1,8%,W338=2,10%,W338&gt;2,10%,W338&lt;1,0)</f>
        <v>0.1</v>
      </c>
      <c r="Y339" s="35" t="str">
        <f t="shared" si="11"/>
        <v>IMS</v>
      </c>
      <c r="Z339" s="40"/>
      <c r="AA339" s="1" t="str">
        <f>LEFT(PMS_Catalog[[#This Row],[WU Id]],3)</f>
        <v>IMS</v>
      </c>
    </row>
    <row r="340" spans="1:27" ht="39" customHeight="1">
      <c r="A340" s="4" t="s">
        <v>1317</v>
      </c>
      <c r="B340" s="4" t="s">
        <v>78</v>
      </c>
      <c r="C340" s="4" t="s">
        <v>79</v>
      </c>
      <c r="D340" s="4" t="s">
        <v>1296</v>
      </c>
      <c r="E340" s="4" t="s">
        <v>1296</v>
      </c>
      <c r="F340" s="13" t="s">
        <v>140</v>
      </c>
      <c r="G340" s="21" t="s">
        <v>1318</v>
      </c>
      <c r="H340" s="21" t="s">
        <v>1319</v>
      </c>
      <c r="I340" s="1" t="s">
        <v>89</v>
      </c>
      <c r="J340" s="1" t="s">
        <v>89</v>
      </c>
      <c r="K340" s="1" t="s">
        <v>89</v>
      </c>
      <c r="L340" s="1" t="s">
        <v>413</v>
      </c>
      <c r="M340" s="2">
        <v>21.75</v>
      </c>
      <c r="N340" s="34" t="s">
        <v>1139</v>
      </c>
      <c r="O340" s="34" t="str">
        <f>IF(ISNUMBER(SEARCH("IMS",PMS_Catalog[[#This Row],[WU Id]])),"IMS",PMS_Catalog[[#This Row],[UNIQUE PRICE per hour]]*PMS_Catalog[[#This Row],[PMS Effort (Hours)]])</f>
        <v>IMS</v>
      </c>
      <c r="P340" s="34">
        <v>3</v>
      </c>
      <c r="Q340" s="53" t="s">
        <v>88</v>
      </c>
      <c r="R340" s="1" t="s">
        <v>89</v>
      </c>
      <c r="S340" s="1"/>
      <c r="T340" s="31">
        <v>45247</v>
      </c>
      <c r="U340" s="1" t="s">
        <v>1263</v>
      </c>
      <c r="V340" s="31">
        <v>45247</v>
      </c>
      <c r="W340" s="1">
        <f t="shared" ca="1" si="12"/>
        <v>2</v>
      </c>
      <c r="X340" s="1" cm="1">
        <f t="array" aca="1" ref="X340" ca="1">_xlfn.IFS(W339=1,8%,W339=2,10%,W339&gt;2,10%,W339&lt;1,0)</f>
        <v>0.1</v>
      </c>
      <c r="Y340" s="35" t="str">
        <f t="shared" si="11"/>
        <v>IMS</v>
      </c>
      <c r="Z340" s="40"/>
      <c r="AA340" s="1" t="str">
        <f>LEFT(PMS_Catalog[[#This Row],[WU Id]],3)</f>
        <v>IMS</v>
      </c>
    </row>
    <row r="341" spans="1:27" ht="39" customHeight="1">
      <c r="A341" s="1" t="s">
        <v>1320</v>
      </c>
      <c r="B341" s="1" t="s">
        <v>78</v>
      </c>
      <c r="C341" s="4" t="s">
        <v>79</v>
      </c>
      <c r="D341" s="1" t="s">
        <v>1296</v>
      </c>
      <c r="E341" s="1" t="s">
        <v>1296</v>
      </c>
      <c r="F341" s="11" t="s">
        <v>192</v>
      </c>
      <c r="G341" s="21" t="s">
        <v>1321</v>
      </c>
      <c r="H341" s="21" t="s">
        <v>1322</v>
      </c>
      <c r="I341" s="1" t="s">
        <v>89</v>
      </c>
      <c r="J341" s="1" t="s">
        <v>89</v>
      </c>
      <c r="K341" s="1" t="s">
        <v>89</v>
      </c>
      <c r="L341" s="1" t="s">
        <v>646</v>
      </c>
      <c r="M341" s="2">
        <v>21.75</v>
      </c>
      <c r="N341" s="30">
        <v>7</v>
      </c>
      <c r="O341" s="30">
        <f>IF(ISNUMBER(SEARCH("IMS",PMS_Catalog[[#This Row],[WU Id]])),"IMS",PMS_Catalog[[#This Row],[UNIQUE PRICE per hour]]*PMS_Catalog[[#This Row],[PMS Effort (Hours)]])</f>
        <v>152.25</v>
      </c>
      <c r="P341" s="30">
        <v>3</v>
      </c>
      <c r="Q341" s="53" t="s">
        <v>88</v>
      </c>
      <c r="R341" s="1" t="s">
        <v>89</v>
      </c>
      <c r="S341" s="1"/>
      <c r="T341" s="31">
        <v>45247</v>
      </c>
      <c r="U341" s="1" t="s">
        <v>1263</v>
      </c>
      <c r="V341" s="31">
        <v>45247</v>
      </c>
      <c r="W341" s="1">
        <f t="shared" ca="1" si="12"/>
        <v>2</v>
      </c>
      <c r="X341" s="1" cm="1">
        <f t="array" aca="1" ref="X341" ca="1">_xlfn.IFS(W340=1,8%,W340=2,10%,W340&gt;2,10%,W340&lt;1,0)</f>
        <v>0.1</v>
      </c>
      <c r="Y341" s="35">
        <f t="shared" ca="1" si="11"/>
        <v>137.02500000000001</v>
      </c>
      <c r="Z341" s="40"/>
      <c r="AA341" s="1" t="str">
        <f>LEFT(PMS_Catalog[[#This Row],[WU Id]],3)</f>
        <v>PMS</v>
      </c>
    </row>
    <row r="342" spans="1:27" ht="39" customHeight="1">
      <c r="A342" s="4" t="s">
        <v>1323</v>
      </c>
      <c r="B342" s="4" t="s">
        <v>78</v>
      </c>
      <c r="C342" s="4" t="s">
        <v>79</v>
      </c>
      <c r="D342" s="4" t="s">
        <v>1296</v>
      </c>
      <c r="E342" s="4" t="s">
        <v>1296</v>
      </c>
      <c r="F342" s="11" t="s">
        <v>192</v>
      </c>
      <c r="G342" s="21" t="s">
        <v>1324</v>
      </c>
      <c r="H342" s="21" t="s">
        <v>1325</v>
      </c>
      <c r="I342" s="1" t="s">
        <v>89</v>
      </c>
      <c r="J342" s="1" t="s">
        <v>89</v>
      </c>
      <c r="K342" s="1" t="s">
        <v>89</v>
      </c>
      <c r="L342" s="1" t="s">
        <v>646</v>
      </c>
      <c r="M342" s="2">
        <v>21.75</v>
      </c>
      <c r="N342" s="30">
        <v>8</v>
      </c>
      <c r="O342" s="30">
        <f>IF(ISNUMBER(SEARCH("IMS",PMS_Catalog[[#This Row],[WU Id]])),"IMS",PMS_Catalog[[#This Row],[UNIQUE PRICE per hour]]*PMS_Catalog[[#This Row],[PMS Effort (Hours)]])</f>
        <v>174</v>
      </c>
      <c r="P342" s="30">
        <v>4</v>
      </c>
      <c r="Q342" s="53" t="s">
        <v>88</v>
      </c>
      <c r="R342" s="1" t="s">
        <v>89</v>
      </c>
      <c r="S342" s="1"/>
      <c r="T342" s="31">
        <v>45247</v>
      </c>
      <c r="U342" s="1" t="s">
        <v>1263</v>
      </c>
      <c r="V342" s="31">
        <v>45247</v>
      </c>
      <c r="W342" s="1">
        <f t="shared" ca="1" si="12"/>
        <v>2</v>
      </c>
      <c r="X342" s="1" cm="1">
        <f t="array" aca="1" ref="X342" ca="1">_xlfn.IFS(W341=1,8%,W341=2,10%,W341&gt;2,10%,W341&lt;1,0)</f>
        <v>0.1</v>
      </c>
      <c r="Y342" s="35">
        <f t="shared" ca="1" si="11"/>
        <v>156.6</v>
      </c>
      <c r="Z342" s="40"/>
      <c r="AA342" s="1" t="str">
        <f>LEFT(PMS_Catalog[[#This Row],[WU Id]],3)</f>
        <v>PMS</v>
      </c>
    </row>
    <row r="343" spans="1:27" ht="39" customHeight="1">
      <c r="A343" s="4" t="s">
        <v>1326</v>
      </c>
      <c r="B343" s="4" t="s">
        <v>78</v>
      </c>
      <c r="C343" s="4" t="s">
        <v>79</v>
      </c>
      <c r="D343" s="4" t="s">
        <v>1296</v>
      </c>
      <c r="E343" s="4" t="s">
        <v>1296</v>
      </c>
      <c r="F343" s="11" t="s">
        <v>408</v>
      </c>
      <c r="G343" s="21" t="s">
        <v>1327</v>
      </c>
      <c r="H343" s="21" t="s">
        <v>1328</v>
      </c>
      <c r="I343" s="1" t="s">
        <v>89</v>
      </c>
      <c r="J343" s="1" t="s">
        <v>89</v>
      </c>
      <c r="K343" s="1" t="s">
        <v>89</v>
      </c>
      <c r="L343" s="1" t="s">
        <v>646</v>
      </c>
      <c r="M343" s="2">
        <v>21.75</v>
      </c>
      <c r="N343" s="30">
        <v>8</v>
      </c>
      <c r="O343" s="30">
        <f>IF(ISNUMBER(SEARCH("IMS",PMS_Catalog[[#This Row],[WU Id]])),"IMS",PMS_Catalog[[#This Row],[UNIQUE PRICE per hour]]*PMS_Catalog[[#This Row],[PMS Effort (Hours)]])</f>
        <v>174</v>
      </c>
      <c r="P343" s="30">
        <v>3</v>
      </c>
      <c r="Q343" s="53" t="s">
        <v>88</v>
      </c>
      <c r="R343" s="1" t="s">
        <v>89</v>
      </c>
      <c r="S343" s="1"/>
      <c r="T343" s="31">
        <v>45247</v>
      </c>
      <c r="U343" s="1" t="s">
        <v>1263</v>
      </c>
      <c r="V343" s="31">
        <v>45247</v>
      </c>
      <c r="W343" s="1">
        <f t="shared" ca="1" si="12"/>
        <v>2</v>
      </c>
      <c r="X343" s="1" cm="1">
        <f t="array" aca="1" ref="X343" ca="1">_xlfn.IFS(W342=1,8%,W342=2,10%,W342&gt;2,10%,W342&lt;1,0)</f>
        <v>0.1</v>
      </c>
      <c r="Y343" s="35">
        <f t="shared" ca="1" si="11"/>
        <v>156.6</v>
      </c>
      <c r="Z343" s="40"/>
      <c r="AA343" s="1" t="str">
        <f>LEFT(PMS_Catalog[[#This Row],[WU Id]],3)</f>
        <v>PMS</v>
      </c>
    </row>
    <row r="344" spans="1:27" ht="39" customHeight="1">
      <c r="A344" s="1" t="s">
        <v>1329</v>
      </c>
      <c r="B344" s="1" t="s">
        <v>78</v>
      </c>
      <c r="C344" s="4" t="s">
        <v>79</v>
      </c>
      <c r="D344" s="1" t="s">
        <v>1296</v>
      </c>
      <c r="E344" s="1" t="s">
        <v>1296</v>
      </c>
      <c r="F344" s="11" t="s">
        <v>408</v>
      </c>
      <c r="G344" s="21" t="s">
        <v>1330</v>
      </c>
      <c r="H344" s="21" t="s">
        <v>1331</v>
      </c>
      <c r="I344" s="1" t="s">
        <v>89</v>
      </c>
      <c r="J344" s="1" t="s">
        <v>89</v>
      </c>
      <c r="K344" s="1" t="s">
        <v>89</v>
      </c>
      <c r="L344" s="1" t="s">
        <v>646</v>
      </c>
      <c r="M344" s="2">
        <v>21.75</v>
      </c>
      <c r="N344" s="30">
        <v>8</v>
      </c>
      <c r="O344" s="30">
        <f>IF(ISNUMBER(SEARCH("IMS",PMS_Catalog[[#This Row],[WU Id]])),"IMS",PMS_Catalog[[#This Row],[UNIQUE PRICE per hour]]*PMS_Catalog[[#This Row],[PMS Effort (Hours)]])</f>
        <v>174</v>
      </c>
      <c r="P344" s="30">
        <v>3</v>
      </c>
      <c r="Q344" s="53" t="s">
        <v>88</v>
      </c>
      <c r="R344" s="1" t="s">
        <v>89</v>
      </c>
      <c r="S344" s="1"/>
      <c r="T344" s="31">
        <v>45247</v>
      </c>
      <c r="U344" s="1" t="s">
        <v>1263</v>
      </c>
      <c r="V344" s="31">
        <v>45247</v>
      </c>
      <c r="W344" s="1">
        <f t="shared" ca="1" si="12"/>
        <v>2</v>
      </c>
      <c r="X344" s="1" cm="1">
        <f t="array" aca="1" ref="X344" ca="1">_xlfn.IFS(W343=1,8%,W343=2,10%,W343&gt;2,10%,W343&lt;1,0)</f>
        <v>0.1</v>
      </c>
      <c r="Y344" s="35">
        <f t="shared" ca="1" si="11"/>
        <v>156.6</v>
      </c>
      <c r="Z344" s="40"/>
      <c r="AA344" s="1" t="str">
        <f>LEFT(PMS_Catalog[[#This Row],[WU Id]],3)</f>
        <v>PMS</v>
      </c>
    </row>
    <row r="345" spans="1:27" ht="39" customHeight="1">
      <c r="A345" s="4" t="s">
        <v>1332</v>
      </c>
      <c r="B345" s="4" t="s">
        <v>78</v>
      </c>
      <c r="C345" s="4" t="s">
        <v>79</v>
      </c>
      <c r="D345" s="4" t="s">
        <v>1296</v>
      </c>
      <c r="E345" s="4" t="s">
        <v>1296</v>
      </c>
      <c r="F345" s="11" t="s">
        <v>408</v>
      </c>
      <c r="G345" s="21" t="s">
        <v>1333</v>
      </c>
      <c r="H345" s="21" t="s">
        <v>1334</v>
      </c>
      <c r="I345" s="1" t="s">
        <v>89</v>
      </c>
      <c r="J345" s="1" t="s">
        <v>89</v>
      </c>
      <c r="K345" s="1" t="s">
        <v>89</v>
      </c>
      <c r="L345" s="1" t="s">
        <v>646</v>
      </c>
      <c r="M345" s="2">
        <v>21.75</v>
      </c>
      <c r="N345" s="30">
        <v>6</v>
      </c>
      <c r="O345" s="30">
        <f>IF(ISNUMBER(SEARCH("IMS",PMS_Catalog[[#This Row],[WU Id]])),"IMS",PMS_Catalog[[#This Row],[UNIQUE PRICE per hour]]*PMS_Catalog[[#This Row],[PMS Effort (Hours)]])</f>
        <v>130.5</v>
      </c>
      <c r="P345" s="30">
        <v>3</v>
      </c>
      <c r="Q345" s="53" t="s">
        <v>88</v>
      </c>
      <c r="R345" s="1" t="s">
        <v>89</v>
      </c>
      <c r="S345" s="1"/>
      <c r="T345" s="31">
        <v>45247</v>
      </c>
      <c r="U345" s="1" t="s">
        <v>1263</v>
      </c>
      <c r="V345" s="31">
        <v>45247</v>
      </c>
      <c r="W345" s="1">
        <f t="shared" ca="1" si="12"/>
        <v>2</v>
      </c>
      <c r="X345" s="1" cm="1">
        <f t="array" aca="1" ref="X345" ca="1">_xlfn.IFS(W344=1,8%,W344=2,10%,W344&gt;2,10%,W344&lt;1,0)</f>
        <v>0.1</v>
      </c>
      <c r="Y345" s="35">
        <f t="shared" ca="1" si="11"/>
        <v>117.45</v>
      </c>
      <c r="Z345" s="40"/>
      <c r="AA345" s="1" t="str">
        <f>LEFT(PMS_Catalog[[#This Row],[WU Id]],3)</f>
        <v>PMS</v>
      </c>
    </row>
    <row r="346" spans="1:27" ht="39" customHeight="1">
      <c r="A346" s="4" t="s">
        <v>1335</v>
      </c>
      <c r="B346" s="4" t="s">
        <v>78</v>
      </c>
      <c r="C346" s="4" t="s">
        <v>79</v>
      </c>
      <c r="D346" s="4" t="s">
        <v>1296</v>
      </c>
      <c r="E346" s="4" t="s">
        <v>1296</v>
      </c>
      <c r="F346" s="11" t="s">
        <v>192</v>
      </c>
      <c r="G346" s="21" t="s">
        <v>1336</v>
      </c>
      <c r="H346" s="21" t="s">
        <v>1337</v>
      </c>
      <c r="I346" s="1" t="s">
        <v>89</v>
      </c>
      <c r="J346" s="1" t="s">
        <v>89</v>
      </c>
      <c r="K346" s="1" t="s">
        <v>89</v>
      </c>
      <c r="L346" s="1" t="s">
        <v>646</v>
      </c>
      <c r="M346" s="2">
        <v>21.75</v>
      </c>
      <c r="N346" s="30">
        <v>8</v>
      </c>
      <c r="O346" s="30">
        <f>IF(ISNUMBER(SEARCH("IMS",PMS_Catalog[[#This Row],[WU Id]])),"IMS",PMS_Catalog[[#This Row],[UNIQUE PRICE per hour]]*PMS_Catalog[[#This Row],[PMS Effort (Hours)]])</f>
        <v>174</v>
      </c>
      <c r="P346" s="30">
        <v>3</v>
      </c>
      <c r="Q346" s="53" t="s">
        <v>88</v>
      </c>
      <c r="R346" s="1" t="s">
        <v>89</v>
      </c>
      <c r="S346" s="1"/>
      <c r="T346" s="31">
        <v>45247</v>
      </c>
      <c r="U346" s="1" t="s">
        <v>1263</v>
      </c>
      <c r="V346" s="31">
        <v>45247</v>
      </c>
      <c r="W346" s="1">
        <f t="shared" ca="1" si="12"/>
        <v>2</v>
      </c>
      <c r="X346" s="1" cm="1">
        <f t="array" aca="1" ref="X346" ca="1">_xlfn.IFS(W345=1,8%,W345=2,10%,W345&gt;2,10%,W345&lt;1,0)</f>
        <v>0.1</v>
      </c>
      <c r="Y346" s="35">
        <f t="shared" ca="1" si="11"/>
        <v>156.6</v>
      </c>
      <c r="Z346" s="40"/>
      <c r="AA346" s="1" t="str">
        <f>LEFT(PMS_Catalog[[#This Row],[WU Id]],3)</f>
        <v>PMS</v>
      </c>
    </row>
    <row r="347" spans="1:27" ht="39" customHeight="1">
      <c r="A347" s="1" t="s">
        <v>1338</v>
      </c>
      <c r="B347" s="1" t="s">
        <v>78</v>
      </c>
      <c r="C347" s="4" t="s">
        <v>79</v>
      </c>
      <c r="D347" s="1" t="s">
        <v>1296</v>
      </c>
      <c r="E347" s="1" t="s">
        <v>1296</v>
      </c>
      <c r="F347" s="11" t="s">
        <v>408</v>
      </c>
      <c r="G347" s="21" t="s">
        <v>1339</v>
      </c>
      <c r="H347" s="21" t="s">
        <v>1340</v>
      </c>
      <c r="I347" s="1" t="s">
        <v>89</v>
      </c>
      <c r="J347" s="1" t="s">
        <v>89</v>
      </c>
      <c r="K347" s="1" t="s">
        <v>89</v>
      </c>
      <c r="L347" s="1" t="s">
        <v>413</v>
      </c>
      <c r="M347" s="2">
        <v>21.75</v>
      </c>
      <c r="N347" s="30">
        <v>8</v>
      </c>
      <c r="O347" s="30">
        <f>IF(ISNUMBER(SEARCH("IMS",PMS_Catalog[[#This Row],[WU Id]])),"IMS",PMS_Catalog[[#This Row],[UNIQUE PRICE per hour]]*PMS_Catalog[[#This Row],[PMS Effort (Hours)]])</f>
        <v>174</v>
      </c>
      <c r="P347" s="30">
        <v>3</v>
      </c>
      <c r="Q347" s="53" t="s">
        <v>88</v>
      </c>
      <c r="R347" s="1" t="s">
        <v>89</v>
      </c>
      <c r="S347" s="1"/>
      <c r="T347" s="31">
        <v>45247</v>
      </c>
      <c r="U347" s="1" t="s">
        <v>1263</v>
      </c>
      <c r="V347" s="31">
        <v>45247</v>
      </c>
      <c r="W347" s="1">
        <f t="shared" ca="1" si="12"/>
        <v>2</v>
      </c>
      <c r="X347" s="1" cm="1">
        <f t="array" aca="1" ref="X347" ca="1">_xlfn.IFS(W346=1,8%,W346=2,10%,W346&gt;2,10%,W346&lt;1,0)</f>
        <v>0.1</v>
      </c>
      <c r="Y347" s="35">
        <f t="shared" ca="1" si="11"/>
        <v>156.6</v>
      </c>
      <c r="Z347" s="40"/>
      <c r="AA347" s="1" t="str">
        <f>LEFT(PMS_Catalog[[#This Row],[WU Id]],3)</f>
        <v>PMS</v>
      </c>
    </row>
    <row r="348" spans="1:27" ht="39" customHeight="1">
      <c r="A348" s="4" t="s">
        <v>1341</v>
      </c>
      <c r="B348" s="4" t="s">
        <v>78</v>
      </c>
      <c r="C348" s="4" t="s">
        <v>79</v>
      </c>
      <c r="D348" s="4" t="s">
        <v>1296</v>
      </c>
      <c r="E348" s="4" t="s">
        <v>1296</v>
      </c>
      <c r="F348" s="11" t="s">
        <v>408</v>
      </c>
      <c r="G348" s="21" t="s">
        <v>1342</v>
      </c>
      <c r="H348" s="21" t="s">
        <v>1343</v>
      </c>
      <c r="I348" s="1" t="s">
        <v>89</v>
      </c>
      <c r="J348" s="1" t="s">
        <v>89</v>
      </c>
      <c r="K348" s="1" t="s">
        <v>89</v>
      </c>
      <c r="L348" s="1" t="s">
        <v>646</v>
      </c>
      <c r="M348" s="2">
        <v>21.75</v>
      </c>
      <c r="N348" s="30">
        <v>17.5</v>
      </c>
      <c r="O348" s="30">
        <f>IF(ISNUMBER(SEARCH("IMS",PMS_Catalog[[#This Row],[WU Id]])),"IMS",PMS_Catalog[[#This Row],[UNIQUE PRICE per hour]]*PMS_Catalog[[#This Row],[PMS Effort (Hours)]])</f>
        <v>380.625</v>
      </c>
      <c r="P348" s="30">
        <v>7</v>
      </c>
      <c r="Q348" s="53" t="s">
        <v>88</v>
      </c>
      <c r="R348" s="1" t="s">
        <v>89</v>
      </c>
      <c r="S348" s="1"/>
      <c r="T348" s="31">
        <v>45247</v>
      </c>
      <c r="U348" s="1" t="s">
        <v>1263</v>
      </c>
      <c r="V348" s="31">
        <v>45247</v>
      </c>
      <c r="W348" s="1">
        <f t="shared" ca="1" si="12"/>
        <v>2</v>
      </c>
      <c r="X348" s="1" cm="1">
        <f t="array" aca="1" ref="X348" ca="1">_xlfn.IFS(W347=1,8%,W347=2,10%,W347&gt;2,10%,W347&lt;1,0)</f>
        <v>0.1</v>
      </c>
      <c r="Y348" s="35">
        <f t="shared" ca="1" si="11"/>
        <v>342.5625</v>
      </c>
      <c r="Z348" s="40"/>
      <c r="AA348" s="1" t="str">
        <f>LEFT(PMS_Catalog[[#This Row],[WU Id]],3)</f>
        <v>PMS</v>
      </c>
    </row>
    <row r="349" spans="1:27" ht="39" customHeight="1">
      <c r="A349" s="4" t="s">
        <v>1344</v>
      </c>
      <c r="B349" s="4" t="s">
        <v>78</v>
      </c>
      <c r="C349" s="4" t="s">
        <v>79</v>
      </c>
      <c r="D349" s="4" t="s">
        <v>1296</v>
      </c>
      <c r="E349" s="4" t="s">
        <v>1296</v>
      </c>
      <c r="F349" s="11" t="s">
        <v>408</v>
      </c>
      <c r="G349" s="21" t="s">
        <v>1345</v>
      </c>
      <c r="H349" s="21" t="s">
        <v>1346</v>
      </c>
      <c r="I349" s="1" t="s">
        <v>89</v>
      </c>
      <c r="J349" s="1" t="s">
        <v>1302</v>
      </c>
      <c r="K349" s="1" t="s">
        <v>89</v>
      </c>
      <c r="L349" s="1" t="s">
        <v>413</v>
      </c>
      <c r="M349" s="2">
        <v>21.75</v>
      </c>
      <c r="N349" s="30">
        <v>8</v>
      </c>
      <c r="O349" s="30">
        <f>IF(ISNUMBER(SEARCH("IMS",PMS_Catalog[[#This Row],[WU Id]])),"IMS",PMS_Catalog[[#This Row],[UNIQUE PRICE per hour]]*PMS_Catalog[[#This Row],[PMS Effort (Hours)]])</f>
        <v>174</v>
      </c>
      <c r="P349" s="30">
        <v>7</v>
      </c>
      <c r="Q349" s="53" t="s">
        <v>88</v>
      </c>
      <c r="R349" s="1" t="s">
        <v>89</v>
      </c>
      <c r="S349" s="1"/>
      <c r="T349" s="31">
        <v>45247</v>
      </c>
      <c r="U349" s="1" t="s">
        <v>1263</v>
      </c>
      <c r="V349" s="31">
        <v>45247</v>
      </c>
      <c r="W349" s="1">
        <f t="shared" ca="1" si="12"/>
        <v>2</v>
      </c>
      <c r="X349" s="1" cm="1">
        <f t="array" aca="1" ref="X349" ca="1">_xlfn.IFS(W348=1,8%,W348=2,10%,W348&gt;2,10%,W348&lt;1,0)</f>
        <v>0.1</v>
      </c>
      <c r="Y349" s="35">
        <f t="shared" ca="1" si="11"/>
        <v>156.6</v>
      </c>
      <c r="Z349" s="40"/>
      <c r="AA349" s="1" t="str">
        <f>LEFT(PMS_Catalog[[#This Row],[WU Id]],3)</f>
        <v>PMS</v>
      </c>
    </row>
    <row r="350" spans="1:27" ht="153" customHeight="1">
      <c r="A350" s="1" t="s">
        <v>1347</v>
      </c>
      <c r="B350" s="1" t="s">
        <v>78</v>
      </c>
      <c r="C350" s="4" t="s">
        <v>79</v>
      </c>
      <c r="D350" s="1" t="s">
        <v>1296</v>
      </c>
      <c r="E350" s="1" t="s">
        <v>1296</v>
      </c>
      <c r="F350" s="11" t="s">
        <v>408</v>
      </c>
      <c r="G350" s="21" t="s">
        <v>1348</v>
      </c>
      <c r="H350" s="21" t="s">
        <v>1349</v>
      </c>
      <c r="I350" s="1" t="s">
        <v>89</v>
      </c>
      <c r="J350" s="1" t="s">
        <v>89</v>
      </c>
      <c r="K350" s="1" t="s">
        <v>89</v>
      </c>
      <c r="L350" s="1" t="s">
        <v>413</v>
      </c>
      <c r="M350" s="2">
        <v>21.75</v>
      </c>
      <c r="N350" s="30">
        <v>7.5</v>
      </c>
      <c r="O350" s="30">
        <f>IF(ISNUMBER(SEARCH("IMS",PMS_Catalog[[#This Row],[WU Id]])),"IMS",PMS_Catalog[[#This Row],[UNIQUE PRICE per hour]]*PMS_Catalog[[#This Row],[PMS Effort (Hours)]])</f>
        <v>163.125</v>
      </c>
      <c r="P350" s="30">
        <v>3</v>
      </c>
      <c r="Q350" s="53" t="s">
        <v>88</v>
      </c>
      <c r="R350" s="1" t="s">
        <v>89</v>
      </c>
      <c r="S350" s="1"/>
      <c r="T350" s="31">
        <v>45247</v>
      </c>
      <c r="U350" s="1" t="s">
        <v>1263</v>
      </c>
      <c r="V350" s="31">
        <v>45247</v>
      </c>
      <c r="W350" s="1">
        <f t="shared" ca="1" si="12"/>
        <v>2</v>
      </c>
      <c r="X350" s="1" cm="1">
        <f t="array" aca="1" ref="X350" ca="1">_xlfn.IFS(W349=1,8%,W349=2,10%,W349&gt;2,10%,W349&lt;1,0)</f>
        <v>0.1</v>
      </c>
      <c r="Y350" s="35">
        <f t="shared" ca="1" si="11"/>
        <v>146.8125</v>
      </c>
      <c r="Z350" s="40"/>
      <c r="AA350" s="1" t="str">
        <f>LEFT(PMS_Catalog[[#This Row],[WU Id]],3)</f>
        <v>PMS</v>
      </c>
    </row>
    <row r="351" spans="1:27" ht="39" customHeight="1">
      <c r="A351" s="1" t="s">
        <v>1350</v>
      </c>
      <c r="B351" s="1" t="s">
        <v>78</v>
      </c>
      <c r="C351" s="4" t="s">
        <v>79</v>
      </c>
      <c r="D351" s="1" t="s">
        <v>461</v>
      </c>
      <c r="E351" s="1" t="s">
        <v>1351</v>
      </c>
      <c r="F351" s="11" t="s">
        <v>192</v>
      </c>
      <c r="G351" s="21" t="s">
        <v>1352</v>
      </c>
      <c r="H351" s="21" t="s">
        <v>1353</v>
      </c>
      <c r="I351" s="1" t="s">
        <v>908</v>
      </c>
      <c r="J351" s="1" t="s">
        <v>89</v>
      </c>
      <c r="K351" s="1" t="s">
        <v>89</v>
      </c>
      <c r="L351" s="1" t="s">
        <v>87</v>
      </c>
      <c r="M351" s="2">
        <v>21.75</v>
      </c>
      <c r="N351" s="30">
        <v>3</v>
      </c>
      <c r="O351" s="30">
        <f>IF(ISNUMBER(SEARCH("IMS",PMS_Catalog[[#This Row],[WU Id]])),"IMS",PMS_Catalog[[#This Row],[UNIQUE PRICE per hour]]*PMS_Catalog[[#This Row],[PMS Effort (Hours)]])</f>
        <v>65.25</v>
      </c>
      <c r="P351" s="30">
        <v>3</v>
      </c>
      <c r="Q351" s="53" t="s">
        <v>88</v>
      </c>
      <c r="R351" s="1" t="s">
        <v>89</v>
      </c>
      <c r="S351" s="1"/>
      <c r="T351" s="31">
        <v>45247</v>
      </c>
      <c r="U351" s="1" t="s">
        <v>1263</v>
      </c>
      <c r="V351" s="31">
        <v>45247</v>
      </c>
      <c r="W351" s="1">
        <f t="shared" ca="1" si="12"/>
        <v>2</v>
      </c>
      <c r="X351" s="1" cm="1">
        <f t="array" aca="1" ref="X351" ca="1">_xlfn.IFS(W350=1,8%,W350=2,10%,W350&gt;2,10%,W350&lt;1,0)</f>
        <v>0.1</v>
      </c>
      <c r="Y351" s="35">
        <f t="shared" ca="1" si="11"/>
        <v>58.725000000000001</v>
      </c>
      <c r="Z351" s="40"/>
      <c r="AA351" s="1" t="str">
        <f>LEFT(PMS_Catalog[[#This Row],[WU Id]],3)</f>
        <v>PMS</v>
      </c>
    </row>
    <row r="352" spans="1:27" ht="39" customHeight="1">
      <c r="A352" s="4" t="s">
        <v>1354</v>
      </c>
      <c r="B352" s="4" t="s">
        <v>78</v>
      </c>
      <c r="C352" s="4" t="s">
        <v>79</v>
      </c>
      <c r="D352" s="4" t="s">
        <v>1296</v>
      </c>
      <c r="E352" s="4" t="s">
        <v>1296</v>
      </c>
      <c r="F352" s="11" t="s">
        <v>408</v>
      </c>
      <c r="G352" s="21" t="s">
        <v>1355</v>
      </c>
      <c r="H352" s="21" t="s">
        <v>1356</v>
      </c>
      <c r="I352" s="1" t="s">
        <v>89</v>
      </c>
      <c r="J352" s="1" t="s">
        <v>89</v>
      </c>
      <c r="K352" s="1" t="s">
        <v>89</v>
      </c>
      <c r="L352" s="1" t="s">
        <v>413</v>
      </c>
      <c r="M352" s="2">
        <v>21.75</v>
      </c>
      <c r="N352" s="30">
        <v>8</v>
      </c>
      <c r="O352" s="30">
        <f>IF(ISNUMBER(SEARCH("IMS",PMS_Catalog[[#This Row],[WU Id]])),"IMS",PMS_Catalog[[#This Row],[UNIQUE PRICE per hour]]*PMS_Catalog[[#This Row],[PMS Effort (Hours)]])</f>
        <v>174</v>
      </c>
      <c r="P352" s="30">
        <v>4</v>
      </c>
      <c r="Q352" s="53" t="s">
        <v>88</v>
      </c>
      <c r="R352" s="1" t="s">
        <v>89</v>
      </c>
      <c r="S352" s="1"/>
      <c r="T352" s="31">
        <v>45247</v>
      </c>
      <c r="U352" s="1" t="s">
        <v>1263</v>
      </c>
      <c r="V352" s="31">
        <v>45247</v>
      </c>
      <c r="W352" s="1">
        <f t="shared" ca="1" si="12"/>
        <v>2</v>
      </c>
      <c r="X352" s="1" cm="1">
        <f t="array" aca="1" ref="X352" ca="1">_xlfn.IFS(W351=1,8%,W351=2,10%,W351&gt;2,10%,W351&lt;1,0)</f>
        <v>0.1</v>
      </c>
      <c r="Y352" s="35">
        <f t="shared" ca="1" si="11"/>
        <v>156.6</v>
      </c>
      <c r="Z352" s="40"/>
      <c r="AA352" s="1" t="str">
        <f>LEFT(PMS_Catalog[[#This Row],[WU Id]],3)</f>
        <v>PMS</v>
      </c>
    </row>
    <row r="353" spans="1:27" ht="39" customHeight="1">
      <c r="A353" s="4" t="s">
        <v>1357</v>
      </c>
      <c r="B353" s="4" t="s">
        <v>78</v>
      </c>
      <c r="C353" s="4" t="s">
        <v>79</v>
      </c>
      <c r="D353" s="4" t="s">
        <v>461</v>
      </c>
      <c r="E353" s="4" t="s">
        <v>1351</v>
      </c>
      <c r="F353" s="13" t="s">
        <v>599</v>
      </c>
      <c r="G353" s="21" t="s">
        <v>1358</v>
      </c>
      <c r="H353" s="21" t="s">
        <v>1359</v>
      </c>
      <c r="I353" s="1" t="s">
        <v>908</v>
      </c>
      <c r="J353" s="1" t="s">
        <v>89</v>
      </c>
      <c r="K353" s="1" t="s">
        <v>89</v>
      </c>
      <c r="L353" s="1" t="s">
        <v>87</v>
      </c>
      <c r="M353" s="2"/>
      <c r="N353" s="34" t="s">
        <v>1139</v>
      </c>
      <c r="O353" s="34" t="str">
        <f>IF(ISNUMBER(SEARCH("IMS",PMS_Catalog[[#This Row],[WU Id]])),"IMS",PMS_Catalog[[#This Row],[UNIQUE PRICE per hour]]*PMS_Catalog[[#This Row],[PMS Effort (Hours)]])</f>
        <v>IMS</v>
      </c>
      <c r="P353" s="34">
        <v>3</v>
      </c>
      <c r="Q353" s="53" t="s">
        <v>88</v>
      </c>
      <c r="R353" s="1" t="s">
        <v>89</v>
      </c>
      <c r="S353" s="1"/>
      <c r="T353" s="31">
        <v>45247</v>
      </c>
      <c r="U353" s="1" t="s">
        <v>1263</v>
      </c>
      <c r="V353" s="31">
        <v>45247</v>
      </c>
      <c r="W353" s="1">
        <f t="shared" ca="1" si="12"/>
        <v>2</v>
      </c>
      <c r="X353" s="1" cm="1">
        <f t="array" aca="1" ref="X353" ca="1">_xlfn.IFS(W352=1,8%,W352=2,10%,W352&gt;2,10%,W352&lt;1,0)</f>
        <v>0.1</v>
      </c>
      <c r="Y353" s="35" t="str">
        <f t="shared" si="11"/>
        <v>IMS</v>
      </c>
      <c r="Z353" s="40"/>
      <c r="AA353" s="1" t="str">
        <f>LEFT(PMS_Catalog[[#This Row],[WU Id]],3)</f>
        <v>IMS</v>
      </c>
    </row>
    <row r="354" spans="1:27" ht="39" customHeight="1">
      <c r="A354" s="4" t="s">
        <v>1360</v>
      </c>
      <c r="B354" s="4" t="s">
        <v>78</v>
      </c>
      <c r="C354" s="4" t="s">
        <v>79</v>
      </c>
      <c r="D354" s="4" t="s">
        <v>1296</v>
      </c>
      <c r="E354" s="4" t="s">
        <v>1296</v>
      </c>
      <c r="F354" s="11" t="s">
        <v>280</v>
      </c>
      <c r="G354" s="21" t="s">
        <v>1361</v>
      </c>
      <c r="H354" s="21" t="s">
        <v>1362</v>
      </c>
      <c r="I354" s="1" t="s">
        <v>89</v>
      </c>
      <c r="J354" s="1" t="s">
        <v>89</v>
      </c>
      <c r="K354" s="1" t="s">
        <v>89</v>
      </c>
      <c r="L354" s="1" t="s">
        <v>1016</v>
      </c>
      <c r="M354" s="2">
        <v>21.75</v>
      </c>
      <c r="N354" s="30">
        <v>24</v>
      </c>
      <c r="O354" s="30">
        <f>IF(ISNUMBER(SEARCH("IMS",PMS_Catalog[[#This Row],[WU Id]])),"IMS",PMS_Catalog[[#This Row],[UNIQUE PRICE per hour]]*PMS_Catalog[[#This Row],[PMS Effort (Hours)]])</f>
        <v>522</v>
      </c>
      <c r="P354" s="30">
        <v>15</v>
      </c>
      <c r="Q354" s="53" t="s">
        <v>88</v>
      </c>
      <c r="R354" s="1" t="s">
        <v>89</v>
      </c>
      <c r="S354" s="1"/>
      <c r="T354" s="31">
        <v>45247</v>
      </c>
      <c r="U354" s="1" t="s">
        <v>1263</v>
      </c>
      <c r="V354" s="31">
        <v>45247</v>
      </c>
      <c r="W354" s="1">
        <f t="shared" ca="1" si="12"/>
        <v>2</v>
      </c>
      <c r="X354" s="1" cm="1">
        <f t="array" aca="1" ref="X354" ca="1">_xlfn.IFS(W353=1,8%,W353=2,10%,W353&gt;2,10%,W353&lt;1,0)</f>
        <v>0.1</v>
      </c>
      <c r="Y354" s="35">
        <f t="shared" ca="1" si="11"/>
        <v>469.8</v>
      </c>
      <c r="Z354" s="40"/>
      <c r="AA354" s="1" t="str">
        <f>LEFT(PMS_Catalog[[#This Row],[WU Id]],3)</f>
        <v>PMS</v>
      </c>
    </row>
    <row r="355" spans="1:27" ht="39" customHeight="1">
      <c r="A355" s="1" t="s">
        <v>1363</v>
      </c>
      <c r="B355" s="1" t="s">
        <v>78</v>
      </c>
      <c r="C355" s="4" t="s">
        <v>79</v>
      </c>
      <c r="D355" s="1" t="s">
        <v>1296</v>
      </c>
      <c r="E355" s="1" t="s">
        <v>1296</v>
      </c>
      <c r="F355" s="11" t="s">
        <v>552</v>
      </c>
      <c r="G355" s="21" t="s">
        <v>1304</v>
      </c>
      <c r="H355" s="21" t="s">
        <v>1305</v>
      </c>
      <c r="I355" s="1" t="s">
        <v>89</v>
      </c>
      <c r="J355" s="1" t="s">
        <v>89</v>
      </c>
      <c r="K355" s="1" t="s">
        <v>89</v>
      </c>
      <c r="L355" s="1" t="s">
        <v>413</v>
      </c>
      <c r="M355" s="2">
        <v>21.75</v>
      </c>
      <c r="N355" s="30">
        <v>8</v>
      </c>
      <c r="O355" s="30">
        <f>IF(ISNUMBER(SEARCH("IMS",PMS_Catalog[[#This Row],[WU Id]])),"IMS",PMS_Catalog[[#This Row],[UNIQUE PRICE per hour]]*PMS_Catalog[[#This Row],[PMS Effort (Hours)]])</f>
        <v>174</v>
      </c>
      <c r="P355" s="30">
        <v>7</v>
      </c>
      <c r="Q355" s="53" t="s">
        <v>88</v>
      </c>
      <c r="R355" s="1" t="s">
        <v>89</v>
      </c>
      <c r="S355" s="1"/>
      <c r="T355" s="31">
        <v>45247</v>
      </c>
      <c r="U355" s="1" t="s">
        <v>1263</v>
      </c>
      <c r="V355" s="31">
        <v>45247</v>
      </c>
      <c r="W355" s="1">
        <f t="shared" ca="1" si="12"/>
        <v>2</v>
      </c>
      <c r="X355" s="1" cm="1">
        <f t="array" aca="1" ref="X355" ca="1">_xlfn.IFS(W354=1,8%,W354=2,10%,W354&gt;2,10%,W354&lt;1,0)</f>
        <v>0.1</v>
      </c>
      <c r="Y355" s="35">
        <f t="shared" ca="1" si="11"/>
        <v>156.6</v>
      </c>
      <c r="Z355" s="40"/>
      <c r="AA355" s="1" t="str">
        <f>LEFT(PMS_Catalog[[#This Row],[WU Id]],3)</f>
        <v>PMS</v>
      </c>
    </row>
    <row r="356" spans="1:27" ht="39" customHeight="1">
      <c r="A356" s="1" t="s">
        <v>1364</v>
      </c>
      <c r="B356" s="1" t="s">
        <v>78</v>
      </c>
      <c r="C356" s="4" t="s">
        <v>79</v>
      </c>
      <c r="D356" s="1" t="s">
        <v>1296</v>
      </c>
      <c r="E356" s="1" t="s">
        <v>1296</v>
      </c>
      <c r="F356" s="11" t="s">
        <v>192</v>
      </c>
      <c r="G356" s="21" t="s">
        <v>1365</v>
      </c>
      <c r="H356" s="21" t="s">
        <v>1366</v>
      </c>
      <c r="I356" s="1" t="s">
        <v>89</v>
      </c>
      <c r="J356" s="1" t="s">
        <v>89</v>
      </c>
      <c r="K356" s="1" t="s">
        <v>89</v>
      </c>
      <c r="L356" s="1" t="s">
        <v>646</v>
      </c>
      <c r="M356" s="2">
        <v>21.75</v>
      </c>
      <c r="N356" s="30">
        <v>16</v>
      </c>
      <c r="O356" s="30">
        <f>IF(ISNUMBER(SEARCH("IMS",PMS_Catalog[[#This Row],[WU Id]])),"IMS",PMS_Catalog[[#This Row],[UNIQUE PRICE per hour]]*PMS_Catalog[[#This Row],[PMS Effort (Hours)]])</f>
        <v>348</v>
      </c>
      <c r="P356" s="30">
        <v>15</v>
      </c>
      <c r="Q356" s="53" t="s">
        <v>88</v>
      </c>
      <c r="R356" s="1" t="s">
        <v>89</v>
      </c>
      <c r="S356" s="1"/>
      <c r="T356" s="31">
        <v>45247</v>
      </c>
      <c r="U356" s="1" t="s">
        <v>1263</v>
      </c>
      <c r="V356" s="31">
        <v>45247</v>
      </c>
      <c r="W356" s="1">
        <f t="shared" ca="1" si="12"/>
        <v>2</v>
      </c>
      <c r="X356" s="1" cm="1">
        <f t="array" aca="1" ref="X356" ca="1">_xlfn.IFS(W355=1,8%,W355=2,10%,W355&gt;2,10%,W355&lt;1,0)</f>
        <v>0.1</v>
      </c>
      <c r="Y356" s="35">
        <f t="shared" ca="1" si="11"/>
        <v>313.2</v>
      </c>
      <c r="Z356" s="40"/>
      <c r="AA356" s="1" t="str">
        <f>LEFT(PMS_Catalog[[#This Row],[WU Id]],3)</f>
        <v>PMS</v>
      </c>
    </row>
    <row r="357" spans="1:27" ht="39" customHeight="1">
      <c r="A357" s="4" t="s">
        <v>1367</v>
      </c>
      <c r="B357" s="4" t="s">
        <v>78</v>
      </c>
      <c r="C357" s="4" t="s">
        <v>79</v>
      </c>
      <c r="D357" s="4" t="s">
        <v>1296</v>
      </c>
      <c r="E357" s="4" t="s">
        <v>1296</v>
      </c>
      <c r="F357" s="11" t="s">
        <v>192</v>
      </c>
      <c r="G357" s="21" t="s">
        <v>1368</v>
      </c>
      <c r="H357" s="21" t="s">
        <v>1369</v>
      </c>
      <c r="I357" s="1" t="s">
        <v>89</v>
      </c>
      <c r="J357" s="1" t="s">
        <v>89</v>
      </c>
      <c r="K357" s="1" t="s">
        <v>89</v>
      </c>
      <c r="L357" s="1" t="s">
        <v>413</v>
      </c>
      <c r="M357" s="2">
        <v>21.75</v>
      </c>
      <c r="N357" s="30">
        <v>6</v>
      </c>
      <c r="O357" s="30">
        <f>IF(ISNUMBER(SEARCH("IMS",PMS_Catalog[[#This Row],[WU Id]])),"IMS",PMS_Catalog[[#This Row],[UNIQUE PRICE per hour]]*PMS_Catalog[[#This Row],[PMS Effort (Hours)]])</f>
        <v>130.5</v>
      </c>
      <c r="P357" s="30">
        <v>3</v>
      </c>
      <c r="Q357" s="53" t="s">
        <v>88</v>
      </c>
      <c r="R357" s="1" t="s">
        <v>89</v>
      </c>
      <c r="S357" s="1"/>
      <c r="T357" s="31">
        <v>45247</v>
      </c>
      <c r="U357" s="1" t="s">
        <v>1263</v>
      </c>
      <c r="V357" s="31">
        <v>45247</v>
      </c>
      <c r="W357" s="1">
        <f t="shared" ca="1" si="12"/>
        <v>2</v>
      </c>
      <c r="X357" s="1" cm="1">
        <f t="array" aca="1" ref="X357" ca="1">_xlfn.IFS(W356=1,8%,W356=2,10%,W356&gt;2,10%,W356&lt;1,0)</f>
        <v>0.1</v>
      </c>
      <c r="Y357" s="35">
        <f t="shared" ca="1" si="11"/>
        <v>117.45</v>
      </c>
      <c r="Z357" s="40"/>
      <c r="AA357" s="1" t="str">
        <f>LEFT(PMS_Catalog[[#This Row],[WU Id]],3)</f>
        <v>PMS</v>
      </c>
    </row>
    <row r="358" spans="1:27" ht="39" customHeight="1">
      <c r="A358" s="4" t="s">
        <v>1370</v>
      </c>
      <c r="B358" s="4" t="s">
        <v>78</v>
      </c>
      <c r="C358" s="4" t="s">
        <v>79</v>
      </c>
      <c r="D358" s="4" t="s">
        <v>1296</v>
      </c>
      <c r="E358" s="4" t="s">
        <v>1296</v>
      </c>
      <c r="F358" s="11" t="s">
        <v>280</v>
      </c>
      <c r="G358" s="21" t="s">
        <v>1371</v>
      </c>
      <c r="H358" s="21" t="s">
        <v>1372</v>
      </c>
      <c r="I358" s="1" t="s">
        <v>89</v>
      </c>
      <c r="J358" s="1" t="s">
        <v>89</v>
      </c>
      <c r="K358" s="1" t="s">
        <v>89</v>
      </c>
      <c r="L358" s="1" t="s">
        <v>1016</v>
      </c>
      <c r="M358" s="2">
        <v>21.75</v>
      </c>
      <c r="N358" s="30">
        <v>16</v>
      </c>
      <c r="O358" s="30">
        <f>IF(ISNUMBER(SEARCH("IMS",PMS_Catalog[[#This Row],[WU Id]])),"IMS",PMS_Catalog[[#This Row],[UNIQUE PRICE per hour]]*PMS_Catalog[[#This Row],[PMS Effort (Hours)]])</f>
        <v>348</v>
      </c>
      <c r="P358" s="30">
        <v>3</v>
      </c>
      <c r="Q358" s="53" t="s">
        <v>88</v>
      </c>
      <c r="R358" s="1" t="s">
        <v>89</v>
      </c>
      <c r="S358" s="1"/>
      <c r="T358" s="31">
        <v>45247</v>
      </c>
      <c r="U358" s="1" t="s">
        <v>1263</v>
      </c>
      <c r="V358" s="31">
        <v>45247</v>
      </c>
      <c r="W358" s="1">
        <f t="shared" ca="1" si="12"/>
        <v>2</v>
      </c>
      <c r="X358" s="1" cm="1">
        <f t="array" aca="1" ref="X358" ca="1">_xlfn.IFS(W357=1,8%,W357=2,10%,W357&gt;2,10%,W357&lt;1,0)</f>
        <v>0.1</v>
      </c>
      <c r="Y358" s="35">
        <f t="shared" ca="1" si="11"/>
        <v>313.2</v>
      </c>
      <c r="Z358" s="40"/>
      <c r="AA358" s="1" t="str">
        <f>LEFT(PMS_Catalog[[#This Row],[WU Id]],3)</f>
        <v>PMS</v>
      </c>
    </row>
    <row r="359" spans="1:27" ht="39" customHeight="1">
      <c r="A359" s="1" t="s">
        <v>1373</v>
      </c>
      <c r="B359" s="1" t="s">
        <v>78</v>
      </c>
      <c r="C359" s="4" t="s">
        <v>79</v>
      </c>
      <c r="D359" s="1" t="s">
        <v>1296</v>
      </c>
      <c r="E359" s="1" t="s">
        <v>1296</v>
      </c>
      <c r="F359" s="11" t="s">
        <v>280</v>
      </c>
      <c r="G359" s="21" t="s">
        <v>1374</v>
      </c>
      <c r="H359" s="21" t="s">
        <v>1375</v>
      </c>
      <c r="I359" s="1" t="s">
        <v>89</v>
      </c>
      <c r="J359" s="1" t="s">
        <v>89</v>
      </c>
      <c r="K359" s="1" t="s">
        <v>89</v>
      </c>
      <c r="L359" s="1" t="s">
        <v>1376</v>
      </c>
      <c r="M359" s="2">
        <v>21.75</v>
      </c>
      <c r="N359" s="30">
        <v>1</v>
      </c>
      <c r="O359" s="30">
        <f>IF(ISNUMBER(SEARCH("IMS",PMS_Catalog[[#This Row],[WU Id]])),"IMS",PMS_Catalog[[#This Row],[UNIQUE PRICE per hour]]*PMS_Catalog[[#This Row],[PMS Effort (Hours)]])</f>
        <v>21.75</v>
      </c>
      <c r="P359" s="30">
        <v>3</v>
      </c>
      <c r="Q359" s="53" t="s">
        <v>88</v>
      </c>
      <c r="R359" s="1" t="s">
        <v>89</v>
      </c>
      <c r="S359" s="1"/>
      <c r="T359" s="31">
        <v>45247</v>
      </c>
      <c r="U359" s="1" t="s">
        <v>1263</v>
      </c>
      <c r="V359" s="31">
        <v>45247</v>
      </c>
      <c r="W359" s="1">
        <f t="shared" ca="1" si="12"/>
        <v>2</v>
      </c>
      <c r="X359" s="1" cm="1">
        <f t="array" aca="1" ref="X359" ca="1">_xlfn.IFS(W358=1,8%,W358=2,10%,W358&gt;2,10%,W358&lt;1,0)</f>
        <v>0.1</v>
      </c>
      <c r="Y359" s="35">
        <f t="shared" ca="1" si="11"/>
        <v>19.574999999999999</v>
      </c>
      <c r="Z359" s="40"/>
      <c r="AA359" s="1" t="str">
        <f>LEFT(PMS_Catalog[[#This Row],[WU Id]],3)</f>
        <v>PMS</v>
      </c>
    </row>
    <row r="360" spans="1:27" ht="39" customHeight="1">
      <c r="A360" s="4" t="s">
        <v>1377</v>
      </c>
      <c r="B360" s="4" t="s">
        <v>78</v>
      </c>
      <c r="C360" s="4" t="s">
        <v>79</v>
      </c>
      <c r="D360" s="4" t="s">
        <v>1296</v>
      </c>
      <c r="E360" s="4" t="s">
        <v>1296</v>
      </c>
      <c r="F360" s="11" t="s">
        <v>280</v>
      </c>
      <c r="G360" s="21" t="s">
        <v>1378</v>
      </c>
      <c r="H360" s="21" t="s">
        <v>1379</v>
      </c>
      <c r="I360" s="1" t="s">
        <v>89</v>
      </c>
      <c r="J360" s="1" t="s">
        <v>89</v>
      </c>
      <c r="K360" s="1" t="s">
        <v>89</v>
      </c>
      <c r="L360" s="1" t="s">
        <v>413</v>
      </c>
      <c r="M360" s="2">
        <v>21.75</v>
      </c>
      <c r="N360" s="30">
        <v>4</v>
      </c>
      <c r="O360" s="30">
        <f>IF(ISNUMBER(SEARCH("IMS",PMS_Catalog[[#This Row],[WU Id]])),"IMS",PMS_Catalog[[#This Row],[UNIQUE PRICE per hour]]*PMS_Catalog[[#This Row],[PMS Effort (Hours)]])</f>
        <v>87</v>
      </c>
      <c r="P360" s="30">
        <v>3</v>
      </c>
      <c r="Q360" s="53" t="s">
        <v>88</v>
      </c>
      <c r="R360" s="1" t="s">
        <v>89</v>
      </c>
      <c r="S360" s="1"/>
      <c r="T360" s="31">
        <v>45247</v>
      </c>
      <c r="U360" s="1" t="s">
        <v>1263</v>
      </c>
      <c r="V360" s="31">
        <v>45247</v>
      </c>
      <c r="W360" s="1">
        <f t="shared" ca="1" si="12"/>
        <v>2</v>
      </c>
      <c r="X360" s="1" cm="1">
        <f t="array" aca="1" ref="X360" ca="1">_xlfn.IFS(W359=1,8%,W359=2,10%,W359&gt;2,10%,W359&lt;1,0)</f>
        <v>0.1</v>
      </c>
      <c r="Y360" s="35">
        <f t="shared" ca="1" si="11"/>
        <v>78.3</v>
      </c>
      <c r="Z360" s="40"/>
      <c r="AA360" s="1" t="str">
        <f>LEFT(PMS_Catalog[[#This Row],[WU Id]],3)</f>
        <v>PMS</v>
      </c>
    </row>
    <row r="361" spans="1:27" ht="39" customHeight="1">
      <c r="A361" s="4" t="s">
        <v>1380</v>
      </c>
      <c r="B361" s="4" t="s">
        <v>78</v>
      </c>
      <c r="C361" s="4" t="s">
        <v>92</v>
      </c>
      <c r="D361" s="4" t="s">
        <v>461</v>
      </c>
      <c r="E361" s="4" t="s">
        <v>1381</v>
      </c>
      <c r="F361" s="13" t="s">
        <v>599</v>
      </c>
      <c r="G361" s="21" t="s">
        <v>1382</v>
      </c>
      <c r="H361" s="21" t="s">
        <v>1383</v>
      </c>
      <c r="I361" s="1" t="s">
        <v>908</v>
      </c>
      <c r="J361" s="1" t="s">
        <v>89</v>
      </c>
      <c r="K361" s="1" t="s">
        <v>89</v>
      </c>
      <c r="L361" s="1" t="s">
        <v>87</v>
      </c>
      <c r="M361" s="2"/>
      <c r="N361" s="34" t="s">
        <v>1139</v>
      </c>
      <c r="O361" s="34" t="str">
        <f>IF(ISNUMBER(SEARCH("IMS",PMS_Catalog[[#This Row],[WU Id]])),"IMS",PMS_Catalog[[#This Row],[UNIQUE PRICE per hour]]*PMS_Catalog[[#This Row],[PMS Effort (Hours)]])</f>
        <v>IMS</v>
      </c>
      <c r="P361" s="34">
        <v>3</v>
      </c>
      <c r="Q361" s="53" t="s">
        <v>88</v>
      </c>
      <c r="R361" s="1" t="s">
        <v>89</v>
      </c>
      <c r="S361" s="1"/>
      <c r="T361" s="31">
        <v>45247</v>
      </c>
      <c r="U361" s="1" t="s">
        <v>1263</v>
      </c>
      <c r="V361" s="31">
        <v>45247</v>
      </c>
      <c r="W361" s="1">
        <f t="shared" ca="1" si="12"/>
        <v>2</v>
      </c>
      <c r="X361" s="1" cm="1">
        <f t="array" aca="1" ref="X361" ca="1">_xlfn.IFS(W360=1,8%,W360=2,10%,W360&gt;2,10%,W360&lt;1,0)</f>
        <v>0.1</v>
      </c>
      <c r="Y361" s="35" t="str">
        <f t="shared" si="11"/>
        <v>IMS</v>
      </c>
      <c r="Z361" s="40"/>
      <c r="AA361" s="1" t="str">
        <f>LEFT(PMS_Catalog[[#This Row],[WU Id]],3)</f>
        <v>IMS</v>
      </c>
    </row>
    <row r="362" spans="1:27" ht="39" customHeight="1">
      <c r="A362" s="4" t="s">
        <v>1384</v>
      </c>
      <c r="B362" s="4" t="s">
        <v>78</v>
      </c>
      <c r="C362" s="4" t="s">
        <v>79</v>
      </c>
      <c r="D362" s="4" t="s">
        <v>1296</v>
      </c>
      <c r="E362" s="4" t="s">
        <v>1296</v>
      </c>
      <c r="F362" s="11" t="s">
        <v>280</v>
      </c>
      <c r="G362" s="21" t="s">
        <v>1385</v>
      </c>
      <c r="H362" s="21" t="s">
        <v>1379</v>
      </c>
      <c r="I362" s="1" t="s">
        <v>89</v>
      </c>
      <c r="J362" s="1" t="s">
        <v>89</v>
      </c>
      <c r="K362" s="1" t="s">
        <v>89</v>
      </c>
      <c r="L362" s="1" t="s">
        <v>413</v>
      </c>
      <c r="M362" s="2">
        <v>21.75</v>
      </c>
      <c r="N362" s="30">
        <v>1</v>
      </c>
      <c r="O362" s="30">
        <f>IF(ISNUMBER(SEARCH("IMS",PMS_Catalog[[#This Row],[WU Id]])),"IMS",PMS_Catalog[[#This Row],[UNIQUE PRICE per hour]]*PMS_Catalog[[#This Row],[PMS Effort (Hours)]])</f>
        <v>21.75</v>
      </c>
      <c r="P362" s="30">
        <v>3</v>
      </c>
      <c r="Q362" s="53" t="s">
        <v>88</v>
      </c>
      <c r="R362" s="1" t="s">
        <v>89</v>
      </c>
      <c r="S362" s="1"/>
      <c r="T362" s="31">
        <v>45247</v>
      </c>
      <c r="U362" s="1" t="s">
        <v>1263</v>
      </c>
      <c r="V362" s="31">
        <v>45247</v>
      </c>
      <c r="W362" s="1">
        <f t="shared" ca="1" si="12"/>
        <v>2</v>
      </c>
      <c r="X362" s="1" cm="1">
        <f t="array" aca="1" ref="X362" ca="1">_xlfn.IFS(W361=1,8%,W361=2,10%,W361&gt;2,10%,W361&lt;1,0)</f>
        <v>0.1</v>
      </c>
      <c r="Y362" s="35">
        <f t="shared" ca="1" si="11"/>
        <v>19.574999999999999</v>
      </c>
      <c r="Z362" s="40"/>
      <c r="AA362" s="1" t="str">
        <f>LEFT(PMS_Catalog[[#This Row],[WU Id]],3)</f>
        <v>PMS</v>
      </c>
    </row>
    <row r="363" spans="1:27" ht="39" customHeight="1">
      <c r="A363" s="1" t="s">
        <v>1386</v>
      </c>
      <c r="B363" s="1" t="s">
        <v>78</v>
      </c>
      <c r="C363" s="4" t="s">
        <v>79</v>
      </c>
      <c r="D363" s="1" t="s">
        <v>1296</v>
      </c>
      <c r="E363" s="1" t="s">
        <v>1296</v>
      </c>
      <c r="F363" s="12" t="s">
        <v>699</v>
      </c>
      <c r="G363" s="21" t="s">
        <v>1387</v>
      </c>
      <c r="H363" s="21" t="s">
        <v>1388</v>
      </c>
      <c r="I363" s="1" t="s">
        <v>89</v>
      </c>
      <c r="J363" s="1" t="s">
        <v>89</v>
      </c>
      <c r="K363" s="1" t="s">
        <v>89</v>
      </c>
      <c r="L363" s="1" t="s">
        <v>1312</v>
      </c>
      <c r="M363" s="2">
        <v>21.75</v>
      </c>
      <c r="N363" s="30">
        <v>8</v>
      </c>
      <c r="O363" s="30">
        <f>IF(ISNUMBER(SEARCH("IMS",PMS_Catalog[[#This Row],[WU Id]])),"IMS",PMS_Catalog[[#This Row],[UNIQUE PRICE per hour]]*PMS_Catalog[[#This Row],[PMS Effort (Hours)]])</f>
        <v>174</v>
      </c>
      <c r="P363" s="30">
        <v>15</v>
      </c>
      <c r="Q363" s="53" t="s">
        <v>88</v>
      </c>
      <c r="R363" s="1" t="s">
        <v>89</v>
      </c>
      <c r="S363" s="1"/>
      <c r="T363" s="31">
        <v>45247</v>
      </c>
      <c r="U363" s="1" t="s">
        <v>1263</v>
      </c>
      <c r="V363" s="31">
        <v>45247</v>
      </c>
      <c r="W363" s="1">
        <f t="shared" ca="1" si="12"/>
        <v>2</v>
      </c>
      <c r="X363" s="1" cm="1">
        <f t="array" aca="1" ref="X363" ca="1">_xlfn.IFS(W362=1,8%,W362=2,10%,W362&gt;2,10%,W362&lt;1,0)</f>
        <v>0.1</v>
      </c>
      <c r="Y363" s="35">
        <f t="shared" ca="1" si="11"/>
        <v>156.6</v>
      </c>
      <c r="Z363" s="40"/>
      <c r="AA363" s="1" t="str">
        <f>LEFT(PMS_Catalog[[#This Row],[WU Id]],3)</f>
        <v>PMS</v>
      </c>
    </row>
    <row r="364" spans="1:27" ht="39" customHeight="1">
      <c r="A364" s="4" t="s">
        <v>1389</v>
      </c>
      <c r="B364" s="4" t="s">
        <v>78</v>
      </c>
      <c r="C364" s="4" t="s">
        <v>92</v>
      </c>
      <c r="D364" s="4" t="s">
        <v>93</v>
      </c>
      <c r="E364" s="4" t="s">
        <v>94</v>
      </c>
      <c r="F364" s="12" t="s">
        <v>192</v>
      </c>
      <c r="G364" s="21" t="s">
        <v>1390</v>
      </c>
      <c r="H364" s="21" t="s">
        <v>1391</v>
      </c>
      <c r="I364" s="1" t="s">
        <v>89</v>
      </c>
      <c r="J364" s="1" t="s">
        <v>89</v>
      </c>
      <c r="K364" s="1" t="s">
        <v>89</v>
      </c>
      <c r="L364" s="37" t="s">
        <v>1392</v>
      </c>
      <c r="M364" s="21">
        <v>21.75</v>
      </c>
      <c r="N364" s="30">
        <v>28</v>
      </c>
      <c r="O364" s="30">
        <f>IF(ISNUMBER(SEARCH("IMS",PMS_Catalog[[#This Row],[WU Id]])),"IMS",PMS_Catalog[[#This Row],[UNIQUE PRICE per hour]]*PMS_Catalog[[#This Row],[PMS Effort (Hours)]])</f>
        <v>609</v>
      </c>
      <c r="P364" s="30">
        <v>10</v>
      </c>
      <c r="Q364" s="53" t="s">
        <v>88</v>
      </c>
      <c r="R364" s="1" t="s">
        <v>89</v>
      </c>
      <c r="S364" s="1"/>
      <c r="T364" s="31">
        <v>45497</v>
      </c>
      <c r="U364" s="1" t="s">
        <v>1393</v>
      </c>
      <c r="V364" s="31">
        <v>45497</v>
      </c>
      <c r="W364" s="1">
        <f t="shared" ca="1" si="10"/>
        <v>1</v>
      </c>
      <c r="X364" s="1" cm="1">
        <f t="array" aca="1" ref="X364" ca="1">_xlfn.IFS(W363=1,8%,W363=2,10%,W363&gt;2,10%,W363&lt;1,0)</f>
        <v>0.1</v>
      </c>
      <c r="Y364" s="35">
        <f t="shared" ca="1" si="11"/>
        <v>548.1</v>
      </c>
      <c r="Z364" s="40"/>
      <c r="AA364" s="1" t="str">
        <f>LEFT(PMS_Catalog[[#This Row],[WU Id]],3)</f>
        <v>PMS</v>
      </c>
    </row>
    <row r="365" spans="1:27" ht="39" customHeight="1">
      <c r="A365" s="4" t="s">
        <v>1394</v>
      </c>
      <c r="B365" s="4" t="s">
        <v>78</v>
      </c>
      <c r="C365" s="4" t="s">
        <v>92</v>
      </c>
      <c r="D365" s="4" t="s">
        <v>538</v>
      </c>
      <c r="E365" s="4" t="s">
        <v>539</v>
      </c>
      <c r="F365" s="12" t="s">
        <v>192</v>
      </c>
      <c r="G365" s="21" t="s">
        <v>1395</v>
      </c>
      <c r="H365" s="21" t="s">
        <v>1396</v>
      </c>
      <c r="I365" s="1" t="s">
        <v>89</v>
      </c>
      <c r="J365" s="1" t="s">
        <v>89</v>
      </c>
      <c r="K365" s="1" t="s">
        <v>89</v>
      </c>
      <c r="L365" s="37" t="s">
        <v>1397</v>
      </c>
      <c r="M365" s="21">
        <v>21.75</v>
      </c>
      <c r="N365" s="30">
        <v>11</v>
      </c>
      <c r="O365" s="30">
        <f>IF(ISNUMBER(SEARCH("IMS",PMS_Catalog[[#This Row],[WU Id]])),"IMS",PMS_Catalog[[#This Row],[UNIQUE PRICE per hour]]*PMS_Catalog[[#This Row],[PMS Effort (Hours)]])</f>
        <v>239.25</v>
      </c>
      <c r="P365" s="30">
        <v>7</v>
      </c>
      <c r="Q365" s="53" t="s">
        <v>88</v>
      </c>
      <c r="R365" s="1" t="s">
        <v>89</v>
      </c>
      <c r="S365" s="1"/>
      <c r="T365" s="31">
        <v>45497</v>
      </c>
      <c r="U365" s="1" t="s">
        <v>1393</v>
      </c>
      <c r="V365" s="31">
        <v>45497</v>
      </c>
      <c r="W365" s="1">
        <f t="shared" ca="1" si="10"/>
        <v>1</v>
      </c>
      <c r="X365" s="1" cm="1">
        <f t="array" aca="1" ref="X365" ca="1">_xlfn.IFS(W364=1,8%,W364=2,10%,W364&gt;2,10%,W364&lt;1,0)</f>
        <v>0.08</v>
      </c>
      <c r="Y365" s="35">
        <f t="shared" ca="1" si="11"/>
        <v>220.11</v>
      </c>
      <c r="Z365" s="40"/>
      <c r="AA365" s="1" t="str">
        <f>LEFT(PMS_Catalog[[#This Row],[WU Id]],3)</f>
        <v>PMS</v>
      </c>
    </row>
    <row r="366" spans="1:27" s="47" customFormat="1" ht="39" customHeight="1">
      <c r="A366" s="1" t="s">
        <v>1398</v>
      </c>
      <c r="B366" s="1" t="s">
        <v>78</v>
      </c>
      <c r="C366" s="1" t="s">
        <v>92</v>
      </c>
      <c r="D366" s="1" t="s">
        <v>93</v>
      </c>
      <c r="E366" s="1" t="s">
        <v>94</v>
      </c>
      <c r="F366" s="12" t="s">
        <v>280</v>
      </c>
      <c r="G366" s="21" t="s">
        <v>1399</v>
      </c>
      <c r="H366" s="21" t="s">
        <v>1400</v>
      </c>
      <c r="I366" s="1" t="s">
        <v>89</v>
      </c>
      <c r="J366" s="1" t="s">
        <v>89</v>
      </c>
      <c r="K366" s="1" t="s">
        <v>89</v>
      </c>
      <c r="L366" s="37" t="s">
        <v>1392</v>
      </c>
      <c r="M366" s="21">
        <v>21.75</v>
      </c>
      <c r="N366" s="30">
        <v>4</v>
      </c>
      <c r="O366" s="30">
        <f>IF(ISNUMBER(SEARCH("IMS",PMS_Catalog[[#This Row],[WU Id]])),"IMS",PMS_Catalog[[#This Row],[UNIQUE PRICE per hour]]*PMS_Catalog[[#This Row],[PMS Effort (Hours)]])</f>
        <v>87</v>
      </c>
      <c r="P366" s="30">
        <v>10</v>
      </c>
      <c r="Q366" s="53" t="s">
        <v>88</v>
      </c>
      <c r="R366" s="1" t="s">
        <v>89</v>
      </c>
      <c r="S366" s="1"/>
      <c r="T366" s="31">
        <v>45497</v>
      </c>
      <c r="U366" s="1" t="s">
        <v>1393</v>
      </c>
      <c r="V366" s="31">
        <v>45497</v>
      </c>
      <c r="W366" s="1">
        <f t="shared" ca="1" si="10"/>
        <v>1</v>
      </c>
      <c r="X366" s="1" cm="1">
        <f t="array" aca="1" ref="X366" ca="1">_xlfn.IFS(W365=1,8%,W365=2,10%,W365&gt;2,10%,W365&lt;1,0)</f>
        <v>0.08</v>
      </c>
      <c r="Y366" s="35">
        <f t="shared" ca="1" si="11"/>
        <v>80.040000000000006</v>
      </c>
      <c r="Z366" s="40"/>
      <c r="AA366" s="1" t="str">
        <f>LEFT(PMS_Catalog[[#This Row],[WU Id]],3)</f>
        <v>PMS</v>
      </c>
    </row>
    <row r="367" spans="1:27" s="47" customFormat="1" ht="39" customHeight="1">
      <c r="A367" s="4" t="s">
        <v>1401</v>
      </c>
      <c r="B367" s="4" t="s">
        <v>78</v>
      </c>
      <c r="C367" s="4" t="s">
        <v>92</v>
      </c>
      <c r="D367" s="4" t="s">
        <v>93</v>
      </c>
      <c r="E367" s="4" t="s">
        <v>94</v>
      </c>
      <c r="F367" s="12" t="s">
        <v>280</v>
      </c>
      <c r="G367" s="21" t="s">
        <v>1402</v>
      </c>
      <c r="H367" s="21" t="s">
        <v>1400</v>
      </c>
      <c r="I367" s="1" t="s">
        <v>89</v>
      </c>
      <c r="J367" s="1" t="s">
        <v>89</v>
      </c>
      <c r="K367" s="1" t="s">
        <v>89</v>
      </c>
      <c r="L367" s="37" t="s">
        <v>1392</v>
      </c>
      <c r="M367" s="21">
        <v>21.75</v>
      </c>
      <c r="N367" s="30">
        <v>10</v>
      </c>
      <c r="O367" s="30">
        <f>IF(ISNUMBER(SEARCH("IMS",PMS_Catalog[[#This Row],[WU Id]])),"IMS",PMS_Catalog[[#This Row],[UNIQUE PRICE per hour]]*PMS_Catalog[[#This Row],[PMS Effort (Hours)]])</f>
        <v>217.5</v>
      </c>
      <c r="P367" s="30">
        <v>10</v>
      </c>
      <c r="Q367" s="53" t="s">
        <v>88</v>
      </c>
      <c r="R367" s="1" t="s">
        <v>89</v>
      </c>
      <c r="S367" s="1"/>
      <c r="T367" s="31">
        <v>45497</v>
      </c>
      <c r="U367" s="1" t="s">
        <v>1393</v>
      </c>
      <c r="V367" s="31">
        <v>45497</v>
      </c>
      <c r="W367" s="1">
        <f t="shared" ca="1" si="10"/>
        <v>1</v>
      </c>
      <c r="X367" s="1" cm="1">
        <f t="array" aca="1" ref="X367" ca="1">_xlfn.IFS(W366=1,8%,W366=2,10%,W366&gt;2,10%,W366&lt;1,0)</f>
        <v>0.08</v>
      </c>
      <c r="Y367" s="35">
        <f t="shared" ca="1" si="11"/>
        <v>200.1</v>
      </c>
      <c r="Z367" s="40"/>
      <c r="AA367" s="1" t="str">
        <f>LEFT(PMS_Catalog[[#This Row],[WU Id]],3)</f>
        <v>PMS</v>
      </c>
    </row>
    <row r="368" spans="1:27" s="47" customFormat="1" ht="39" customHeight="1">
      <c r="A368" s="4" t="s">
        <v>1403</v>
      </c>
      <c r="B368" s="4" t="s">
        <v>78</v>
      </c>
      <c r="C368" s="4" t="s">
        <v>92</v>
      </c>
      <c r="D368" s="4" t="s">
        <v>93</v>
      </c>
      <c r="E368" s="4" t="s">
        <v>94</v>
      </c>
      <c r="F368" s="12" t="s">
        <v>280</v>
      </c>
      <c r="G368" s="21" t="s">
        <v>1404</v>
      </c>
      <c r="H368" s="21" t="s">
        <v>1400</v>
      </c>
      <c r="I368" s="1" t="s">
        <v>89</v>
      </c>
      <c r="J368" s="1" t="s">
        <v>89</v>
      </c>
      <c r="K368" s="1" t="s">
        <v>89</v>
      </c>
      <c r="L368" s="37" t="s">
        <v>1392</v>
      </c>
      <c r="M368" s="21">
        <v>21.75</v>
      </c>
      <c r="N368" s="30">
        <v>20</v>
      </c>
      <c r="O368" s="30">
        <f>IF(ISNUMBER(SEARCH("IMS",PMS_Catalog[[#This Row],[WU Id]])),"IMS",PMS_Catalog[[#This Row],[UNIQUE PRICE per hour]]*PMS_Catalog[[#This Row],[PMS Effort (Hours)]])</f>
        <v>435</v>
      </c>
      <c r="P368" s="30">
        <v>10</v>
      </c>
      <c r="Q368" s="53" t="s">
        <v>88</v>
      </c>
      <c r="R368" s="1" t="s">
        <v>89</v>
      </c>
      <c r="S368" s="1"/>
      <c r="T368" s="31">
        <v>45497</v>
      </c>
      <c r="U368" s="1" t="s">
        <v>1393</v>
      </c>
      <c r="V368" s="31">
        <v>45497</v>
      </c>
      <c r="W368" s="1">
        <f t="shared" ca="1" si="10"/>
        <v>1</v>
      </c>
      <c r="X368" s="1" cm="1">
        <f t="array" aca="1" ref="X368" ca="1">_xlfn.IFS(W367=1,8%,W367=2,10%,W367&gt;2,10%,W367&lt;1,0)</f>
        <v>0.08</v>
      </c>
      <c r="Y368" s="35">
        <f t="shared" ca="1" si="11"/>
        <v>400.2</v>
      </c>
      <c r="Z368" s="40"/>
      <c r="AA368" s="1" t="str">
        <f>LEFT(PMS_Catalog[[#This Row],[WU Id]],3)</f>
        <v>PMS</v>
      </c>
    </row>
    <row r="369" spans="1:27" s="47" customFormat="1" ht="39" customHeight="1">
      <c r="A369" s="4" t="s">
        <v>1405</v>
      </c>
      <c r="B369" s="4" t="s">
        <v>78</v>
      </c>
      <c r="C369" s="4" t="s">
        <v>92</v>
      </c>
      <c r="D369" s="4" t="s">
        <v>1406</v>
      </c>
      <c r="E369" s="4" t="s">
        <v>1406</v>
      </c>
      <c r="F369" s="13" t="s">
        <v>140</v>
      </c>
      <c r="G369" s="21" t="s">
        <v>1407</v>
      </c>
      <c r="H369" s="21" t="s">
        <v>1408</v>
      </c>
      <c r="I369" s="1" t="s">
        <v>89</v>
      </c>
      <c r="J369" s="1" t="s">
        <v>904</v>
      </c>
      <c r="K369" s="1" t="s">
        <v>89</v>
      </c>
      <c r="L369" s="37" t="s">
        <v>465</v>
      </c>
      <c r="M369" s="21">
        <v>21.75</v>
      </c>
      <c r="N369" s="30">
        <v>10</v>
      </c>
      <c r="O369" s="30">
        <f>M369*N369</f>
        <v>217.5</v>
      </c>
      <c r="P369" s="30" t="s">
        <v>1409</v>
      </c>
      <c r="Q369" s="53" t="s">
        <v>88</v>
      </c>
      <c r="R369" s="1" t="s">
        <v>89</v>
      </c>
      <c r="S369" s="1"/>
      <c r="T369" s="31">
        <v>45961</v>
      </c>
      <c r="U369" s="1" t="s">
        <v>703</v>
      </c>
      <c r="V369" s="31">
        <v>45728</v>
      </c>
      <c r="W369" s="1">
        <f t="shared" ca="1" si="10"/>
        <v>1</v>
      </c>
      <c r="X369" s="1" cm="1">
        <f t="array" aca="1" ref="X369" ca="1">_xlfn.IFS(W368=1,8%,W368=2,10%,W368&gt;2,10%,W368&lt;1,0)</f>
        <v>0.08</v>
      </c>
      <c r="Y369" s="35" t="str">
        <f t="shared" si="11"/>
        <v>IMS</v>
      </c>
      <c r="Z369" s="40"/>
      <c r="AA369" s="1" t="str">
        <f>LEFT(PMS_Catalog[[#This Row],[WU Id]],3)</f>
        <v>IMS</v>
      </c>
    </row>
    <row r="370" spans="1:27" s="47" customFormat="1" ht="39" customHeight="1">
      <c r="A370" s="4" t="s">
        <v>1410</v>
      </c>
      <c r="B370" s="4" t="s">
        <v>78</v>
      </c>
      <c r="C370" s="4" t="s">
        <v>92</v>
      </c>
      <c r="D370" s="4" t="s">
        <v>1411</v>
      </c>
      <c r="E370" s="4" t="s">
        <v>94</v>
      </c>
      <c r="F370" s="12" t="s">
        <v>192</v>
      </c>
      <c r="G370" s="21" t="s">
        <v>1412</v>
      </c>
      <c r="H370" s="21" t="s">
        <v>1413</v>
      </c>
      <c r="I370" s="1" t="s">
        <v>89</v>
      </c>
      <c r="J370" s="1" t="s">
        <v>105</v>
      </c>
      <c r="K370" s="1" t="s">
        <v>89</v>
      </c>
      <c r="L370" s="37" t="s">
        <v>413</v>
      </c>
      <c r="M370" s="21">
        <v>21.75</v>
      </c>
      <c r="N370" s="30">
        <v>1</v>
      </c>
      <c r="O370" s="30">
        <f t="shared" ref="O370:O376" si="13">M370*N370</f>
        <v>21.75</v>
      </c>
      <c r="P370" s="30">
        <v>3</v>
      </c>
      <c r="Q370" s="53" t="s">
        <v>88</v>
      </c>
      <c r="R370" s="1" t="s">
        <v>89</v>
      </c>
      <c r="S370" s="1"/>
      <c r="T370" s="31">
        <v>45961</v>
      </c>
      <c r="U370" s="1" t="s">
        <v>703</v>
      </c>
      <c r="V370" s="31">
        <v>45728</v>
      </c>
      <c r="W370" s="1">
        <f t="shared" ca="1" si="10"/>
        <v>1</v>
      </c>
      <c r="X370" s="1" cm="1">
        <f t="array" aca="1" ref="X370" ca="1">_xlfn.IFS(W369=1,8%,W369=2,10%,W369&gt;2,10%,W369&lt;1,0)</f>
        <v>0.08</v>
      </c>
      <c r="Y370" s="35">
        <f t="shared" ca="1" si="11"/>
        <v>20.010000000000002</v>
      </c>
      <c r="Z370" s="40"/>
      <c r="AA370" s="1" t="str">
        <f>LEFT(PMS_Catalog[[#This Row],[WU Id]],3)</f>
        <v>PMS</v>
      </c>
    </row>
    <row r="371" spans="1:27" s="47" customFormat="1" ht="85.35" customHeight="1">
      <c r="A371" s="4" t="s">
        <v>1414</v>
      </c>
      <c r="B371" s="4" t="s">
        <v>78</v>
      </c>
      <c r="C371" s="4" t="s">
        <v>79</v>
      </c>
      <c r="D371" s="4" t="s">
        <v>93</v>
      </c>
      <c r="E371" s="4" t="s">
        <v>94</v>
      </c>
      <c r="F371" s="12" t="s">
        <v>1415</v>
      </c>
      <c r="G371" s="21" t="s">
        <v>1416</v>
      </c>
      <c r="H371" s="21" t="s">
        <v>1417</v>
      </c>
      <c r="I371" s="1" t="s">
        <v>89</v>
      </c>
      <c r="J371" s="1" t="s">
        <v>104</v>
      </c>
      <c r="K371" s="1" t="s">
        <v>89</v>
      </c>
      <c r="L371" s="37" t="s">
        <v>413</v>
      </c>
      <c r="M371" s="21">
        <v>21.75</v>
      </c>
      <c r="N371" s="30">
        <v>3</v>
      </c>
      <c r="O371" s="30">
        <f t="shared" si="13"/>
        <v>65.25</v>
      </c>
      <c r="P371" s="30">
        <v>3</v>
      </c>
      <c r="Q371" s="53" t="s">
        <v>88</v>
      </c>
      <c r="R371" s="1" t="s">
        <v>89</v>
      </c>
      <c r="S371" s="1"/>
      <c r="T371" s="31">
        <v>45961</v>
      </c>
      <c r="U371" s="1" t="s">
        <v>703</v>
      </c>
      <c r="V371" s="31">
        <v>45728</v>
      </c>
      <c r="W371" s="1">
        <f t="shared" ca="1" si="10"/>
        <v>1</v>
      </c>
      <c r="X371" s="1" cm="1">
        <f t="array" aca="1" ref="X371" ca="1">_xlfn.IFS(W370=1,8%,W370=2,10%,W370&gt;2,10%,W370&lt;1,0)</f>
        <v>0.08</v>
      </c>
      <c r="Y371" s="35">
        <f t="shared" ca="1" si="11"/>
        <v>60.03</v>
      </c>
      <c r="Z371" s="40"/>
      <c r="AA371" s="1" t="str">
        <f>LEFT(PMS_Catalog[[#This Row],[WU Id]],3)</f>
        <v>PMS</v>
      </c>
    </row>
    <row r="372" spans="1:27" s="47" customFormat="1" ht="53.1" customHeight="1">
      <c r="A372" s="4" t="s">
        <v>1418</v>
      </c>
      <c r="B372" s="4" t="s">
        <v>78</v>
      </c>
      <c r="C372" s="4" t="s">
        <v>79</v>
      </c>
      <c r="D372" s="4" t="s">
        <v>93</v>
      </c>
      <c r="E372" s="4" t="s">
        <v>94</v>
      </c>
      <c r="F372" s="12" t="s">
        <v>192</v>
      </c>
      <c r="G372" s="21" t="s">
        <v>1419</v>
      </c>
      <c r="H372" s="21" t="s">
        <v>1420</v>
      </c>
      <c r="I372" s="1" t="s">
        <v>89</v>
      </c>
      <c r="J372" s="1" t="s">
        <v>1421</v>
      </c>
      <c r="K372" s="1" t="s">
        <v>89</v>
      </c>
      <c r="L372" s="37" t="s">
        <v>413</v>
      </c>
      <c r="M372" s="21">
        <v>21.75</v>
      </c>
      <c r="N372" s="30">
        <v>4.3</v>
      </c>
      <c r="O372" s="30">
        <f t="shared" si="13"/>
        <v>93.524999999999991</v>
      </c>
      <c r="P372" s="30">
        <v>5</v>
      </c>
      <c r="Q372" s="53" t="s">
        <v>88</v>
      </c>
      <c r="R372" s="1" t="s">
        <v>89</v>
      </c>
      <c r="S372" s="1"/>
      <c r="T372" s="31">
        <v>45961</v>
      </c>
      <c r="U372" s="1" t="s">
        <v>703</v>
      </c>
      <c r="V372" s="31">
        <v>45728</v>
      </c>
      <c r="W372" s="1">
        <f t="shared" ca="1" si="10"/>
        <v>1</v>
      </c>
      <c r="X372" s="1" cm="1">
        <f t="array" aca="1" ref="X372" ca="1">_xlfn.IFS(W371=1,8%,W371=2,10%,W371&gt;2,10%,W371&lt;1,0)</f>
        <v>0.08</v>
      </c>
      <c r="Y372" s="35">
        <f t="shared" ca="1" si="11"/>
        <v>86.042999999999992</v>
      </c>
      <c r="Z372" s="40"/>
      <c r="AA372" s="1" t="str">
        <f>LEFT(PMS_Catalog[[#This Row],[WU Id]],3)</f>
        <v>PMS</v>
      </c>
    </row>
    <row r="373" spans="1:27" s="47" customFormat="1" ht="68.099999999999994" customHeight="1">
      <c r="A373" s="4" t="s">
        <v>1422</v>
      </c>
      <c r="B373" s="4" t="s">
        <v>78</v>
      </c>
      <c r="C373" s="4" t="s">
        <v>79</v>
      </c>
      <c r="D373" s="4" t="s">
        <v>93</v>
      </c>
      <c r="E373" s="4" t="s">
        <v>94</v>
      </c>
      <c r="F373" s="12" t="s">
        <v>1423</v>
      </c>
      <c r="G373" s="21" t="s">
        <v>1424</v>
      </c>
      <c r="H373" s="21" t="s">
        <v>1425</v>
      </c>
      <c r="I373" s="1" t="s">
        <v>89</v>
      </c>
      <c r="J373" s="1" t="s">
        <v>1426</v>
      </c>
      <c r="K373" s="1" t="s">
        <v>89</v>
      </c>
      <c r="L373" s="37" t="s">
        <v>413</v>
      </c>
      <c r="M373" s="21">
        <v>21.75</v>
      </c>
      <c r="N373" s="30">
        <v>7</v>
      </c>
      <c r="O373" s="30">
        <f t="shared" si="13"/>
        <v>152.25</v>
      </c>
      <c r="P373" s="30">
        <v>3</v>
      </c>
      <c r="Q373" s="53" t="s">
        <v>88</v>
      </c>
      <c r="R373" s="1" t="s">
        <v>89</v>
      </c>
      <c r="S373" s="1"/>
      <c r="T373" s="31">
        <v>45961</v>
      </c>
      <c r="U373" s="1" t="s">
        <v>703</v>
      </c>
      <c r="V373" s="31">
        <v>45728</v>
      </c>
      <c r="W373" s="1">
        <f t="shared" ca="1" si="10"/>
        <v>1</v>
      </c>
      <c r="X373" s="1" cm="1">
        <f t="array" aca="1" ref="X373" ca="1">_xlfn.IFS(W372=1,8%,W372=2,10%,W372&gt;2,10%,W372&lt;1,0)</f>
        <v>0.08</v>
      </c>
      <c r="Y373" s="35">
        <f t="shared" ca="1" si="11"/>
        <v>140.07</v>
      </c>
      <c r="Z373" s="40"/>
      <c r="AA373" s="1" t="str">
        <f>LEFT(PMS_Catalog[[#This Row],[WU Id]],3)</f>
        <v>PMS</v>
      </c>
    </row>
    <row r="374" spans="1:27" s="47" customFormat="1" ht="62.1" customHeight="1">
      <c r="A374" s="4" t="s">
        <v>1427</v>
      </c>
      <c r="B374" s="4" t="s">
        <v>78</v>
      </c>
      <c r="C374" s="4" t="s">
        <v>79</v>
      </c>
      <c r="D374" s="4" t="s">
        <v>93</v>
      </c>
      <c r="E374" s="4" t="s">
        <v>94</v>
      </c>
      <c r="F374" s="12" t="s">
        <v>552</v>
      </c>
      <c r="G374" s="21" t="s">
        <v>1428</v>
      </c>
      <c r="H374" s="21" t="s">
        <v>1429</v>
      </c>
      <c r="I374" s="1" t="s">
        <v>89</v>
      </c>
      <c r="J374" s="1" t="s">
        <v>1421</v>
      </c>
      <c r="K374" s="1" t="s">
        <v>89</v>
      </c>
      <c r="L374" s="37" t="s">
        <v>413</v>
      </c>
      <c r="M374" s="21">
        <v>21.75</v>
      </c>
      <c r="N374" s="30">
        <v>4</v>
      </c>
      <c r="O374" s="30">
        <f t="shared" si="13"/>
        <v>87</v>
      </c>
      <c r="P374" s="30">
        <v>3</v>
      </c>
      <c r="Q374" s="53" t="s">
        <v>88</v>
      </c>
      <c r="R374" s="1" t="s">
        <v>89</v>
      </c>
      <c r="S374" s="1"/>
      <c r="T374" s="31">
        <v>45961</v>
      </c>
      <c r="U374" s="1" t="s">
        <v>703</v>
      </c>
      <c r="V374" s="31">
        <v>45728</v>
      </c>
      <c r="W374" s="1">
        <f t="shared" ca="1" si="10"/>
        <v>1</v>
      </c>
      <c r="X374" s="1" cm="1">
        <f t="array" aca="1" ref="X374" ca="1">_xlfn.IFS(W373=1,8%,W373=2,10%,W373&gt;2,10%,W373&lt;1,0)</f>
        <v>0.08</v>
      </c>
      <c r="Y374" s="35">
        <f t="shared" ca="1" si="11"/>
        <v>80.040000000000006</v>
      </c>
      <c r="Z374" s="40"/>
      <c r="AA374" s="1" t="str">
        <f>LEFT(PMS_Catalog[[#This Row],[WU Id]],3)</f>
        <v>PMS</v>
      </c>
    </row>
    <row r="375" spans="1:27" s="47" customFormat="1" ht="59.1" customHeight="1">
      <c r="A375" s="1" t="s">
        <v>1430</v>
      </c>
      <c r="B375" s="4" t="s">
        <v>78</v>
      </c>
      <c r="C375" s="4" t="s">
        <v>79</v>
      </c>
      <c r="D375" s="1" t="s">
        <v>901</v>
      </c>
      <c r="E375" s="1" t="s">
        <v>406</v>
      </c>
      <c r="F375" s="1" t="s">
        <v>192</v>
      </c>
      <c r="G375" s="21" t="s">
        <v>1431</v>
      </c>
      <c r="H375" s="21" t="s">
        <v>1432</v>
      </c>
      <c r="I375" s="1" t="s">
        <v>89</v>
      </c>
      <c r="J375" s="1" t="s">
        <v>1421</v>
      </c>
      <c r="K375" s="1" t="s">
        <v>89</v>
      </c>
      <c r="L375" s="37" t="s">
        <v>413</v>
      </c>
      <c r="M375" s="21">
        <v>21.75</v>
      </c>
      <c r="N375" s="2">
        <v>2.8</v>
      </c>
      <c r="O375" s="30">
        <f t="shared" si="13"/>
        <v>60.9</v>
      </c>
      <c r="P375" s="2">
        <v>5</v>
      </c>
      <c r="Q375" s="4"/>
      <c r="R375" s="1" t="s">
        <v>89</v>
      </c>
      <c r="S375" s="1"/>
      <c r="T375" s="31">
        <v>45961</v>
      </c>
      <c r="U375" s="73" t="s">
        <v>1433</v>
      </c>
      <c r="V375" s="31">
        <v>45728</v>
      </c>
      <c r="W375" s="1">
        <f t="shared" ca="1" si="10"/>
        <v>1</v>
      </c>
      <c r="X375" s="1" cm="1">
        <f t="array" aca="1" ref="X375" ca="1">_xlfn.IFS(W374=1,8%,W374=2,10%,W374&gt;2,10%,W374&lt;1,0)</f>
        <v>0.08</v>
      </c>
      <c r="Y375" s="35">
        <f t="shared" ca="1" si="11"/>
        <v>56.027999999999999</v>
      </c>
      <c r="Z375" s="1"/>
      <c r="AA375" s="1" t="str">
        <f>LEFT(PMS_Catalog[[#This Row],[WU Id]],3)</f>
        <v>PMS</v>
      </c>
    </row>
    <row r="376" spans="1:27" s="47" customFormat="1" ht="32.25" customHeight="1">
      <c r="A376" s="1" t="s">
        <v>1434</v>
      </c>
      <c r="B376" s="4" t="s">
        <v>78</v>
      </c>
      <c r="C376" s="4" t="s">
        <v>79</v>
      </c>
      <c r="D376" s="1" t="s">
        <v>901</v>
      </c>
      <c r="E376" s="1" t="s">
        <v>1435</v>
      </c>
      <c r="F376" s="1" t="s">
        <v>192</v>
      </c>
      <c r="G376" s="21" t="s">
        <v>1436</v>
      </c>
      <c r="H376" s="21" t="s">
        <v>1437</v>
      </c>
      <c r="I376" s="1" t="s">
        <v>89</v>
      </c>
      <c r="J376" s="1" t="s">
        <v>1421</v>
      </c>
      <c r="K376" s="1" t="s">
        <v>89</v>
      </c>
      <c r="L376" s="37" t="s">
        <v>413</v>
      </c>
      <c r="M376" s="21">
        <v>21.75</v>
      </c>
      <c r="N376" s="2">
        <v>2.8</v>
      </c>
      <c r="O376" s="30">
        <f t="shared" si="13"/>
        <v>60.9</v>
      </c>
      <c r="P376" s="2">
        <v>5</v>
      </c>
      <c r="Q376" s="4"/>
      <c r="R376" s="1" t="s">
        <v>89</v>
      </c>
      <c r="S376" s="1"/>
      <c r="T376" s="31">
        <v>45961</v>
      </c>
      <c r="U376" s="73" t="s">
        <v>1433</v>
      </c>
      <c r="V376" s="31">
        <v>45728</v>
      </c>
      <c r="W376" s="1">
        <f t="shared" ca="1" si="10"/>
        <v>1</v>
      </c>
      <c r="X376" s="1" cm="1">
        <f t="array" aca="1" ref="X376" ca="1">_xlfn.IFS(W375=1,8%,W375=2,10%,W375&gt;2,10%,W375&lt;1,0)</f>
        <v>0.08</v>
      </c>
      <c r="Y376" s="35">
        <f t="shared" ca="1" si="11"/>
        <v>56.027999999999999</v>
      </c>
      <c r="Z376" s="1"/>
      <c r="AA376" s="1" t="str">
        <f>LEFT(PMS_Catalog[[#This Row],[WU Id]],3)</f>
        <v>PMS</v>
      </c>
    </row>
    <row r="377" spans="1:27" ht="39" customHeight="1">
      <c r="N377" s="35"/>
      <c r="P377" s="41"/>
    </row>
    <row r="378" spans="1:27" ht="39" customHeight="1">
      <c r="N378" s="35"/>
      <c r="P378" s="41"/>
    </row>
    <row r="379" spans="1:27" ht="39" customHeight="1">
      <c r="N379" s="35"/>
      <c r="P379" s="41"/>
    </row>
    <row r="380" spans="1:27" ht="39" customHeight="1">
      <c r="N380" s="41"/>
      <c r="P380" s="41"/>
    </row>
    <row r="381" spans="1:27" ht="39" customHeight="1">
      <c r="N381" s="41"/>
      <c r="P381" s="41"/>
    </row>
    <row r="382" spans="1:27" ht="39" customHeight="1">
      <c r="N382" s="41"/>
      <c r="P382" s="41"/>
    </row>
    <row r="383" spans="1:27" ht="39" customHeight="1">
      <c r="N383" s="41"/>
      <c r="P383" s="41"/>
    </row>
    <row r="384" spans="1:27" ht="39" customHeight="1">
      <c r="N384" s="41"/>
      <c r="P384" s="41"/>
    </row>
    <row r="385" spans="3:16" ht="39" customHeight="1">
      <c r="C385" s="46" t="s">
        <v>1438</v>
      </c>
      <c r="N385" s="41"/>
      <c r="P385" s="41"/>
    </row>
    <row r="386" spans="3:16" ht="39" customHeight="1">
      <c r="N386" s="41"/>
      <c r="P386" s="41"/>
    </row>
    <row r="387" spans="3:16" ht="39" customHeight="1">
      <c r="P387" s="41"/>
    </row>
    <row r="388" spans="3:16" ht="39" customHeight="1">
      <c r="P388" s="41"/>
    </row>
    <row r="389" spans="3:16" ht="39" customHeight="1">
      <c r="P389" s="41"/>
    </row>
    <row r="390" spans="3:16" ht="39" customHeight="1">
      <c r="P390" s="41"/>
    </row>
    <row r="391" spans="3:16" ht="39" customHeight="1">
      <c r="P391" s="41"/>
    </row>
    <row r="392" spans="3:16" ht="39" customHeight="1">
      <c r="P392" s="41"/>
    </row>
    <row r="393" spans="3:16" ht="39" customHeight="1">
      <c r="P393" s="41"/>
    </row>
    <row r="394" spans="3:16" ht="39" customHeight="1">
      <c r="P394" s="41"/>
    </row>
    <row r="395" spans="3:16" ht="39" customHeight="1">
      <c r="P395" s="41"/>
    </row>
    <row r="396" spans="3:16" ht="39" customHeight="1">
      <c r="P396" s="41"/>
    </row>
    <row r="397" spans="3:16" ht="39" customHeight="1">
      <c r="P397" s="41"/>
    </row>
    <row r="398" spans="3:16" ht="39" customHeight="1">
      <c r="P398" s="41"/>
    </row>
    <row r="399" spans="3:16" ht="39" customHeight="1">
      <c r="P399" s="41"/>
    </row>
    <row r="400" spans="3:16" ht="39" customHeight="1">
      <c r="P400" s="41"/>
    </row>
    <row r="401" spans="16:16" ht="39" customHeight="1">
      <c r="P401" s="41"/>
    </row>
    <row r="402" spans="16:16" ht="39" customHeight="1">
      <c r="P402" s="41"/>
    </row>
    <row r="403" spans="16:16" ht="39" customHeight="1">
      <c r="P403" s="41"/>
    </row>
    <row r="404" spans="16:16" ht="39" customHeight="1">
      <c r="P404" s="41"/>
    </row>
    <row r="405" spans="16:16" ht="39" customHeight="1">
      <c r="P405" s="41"/>
    </row>
    <row r="406" spans="16:16" ht="39" customHeight="1">
      <c r="P406" s="41"/>
    </row>
    <row r="407" spans="16:16" ht="39" customHeight="1">
      <c r="P407" s="41"/>
    </row>
    <row r="408" spans="16:16" ht="39" customHeight="1">
      <c r="P408" s="41"/>
    </row>
    <row r="409" spans="16:16" ht="39" customHeight="1">
      <c r="P409" s="41"/>
    </row>
    <row r="410" spans="16:16" ht="39" customHeight="1">
      <c r="P410" s="41"/>
    </row>
    <row r="411" spans="16:16" ht="39" customHeight="1">
      <c r="P411" s="41"/>
    </row>
    <row r="412" spans="16:16" ht="39" customHeight="1">
      <c r="P412" s="41"/>
    </row>
    <row r="413" spans="16:16" ht="39" customHeight="1">
      <c r="P413" s="41"/>
    </row>
    <row r="414" spans="16:16" ht="39" customHeight="1">
      <c r="P414" s="41"/>
    </row>
    <row r="415" spans="16:16" ht="39" customHeight="1">
      <c r="P415" s="41"/>
    </row>
    <row r="416" spans="16:16" ht="39" customHeight="1">
      <c r="P416" s="41"/>
    </row>
    <row r="417" spans="16:16" ht="39" customHeight="1">
      <c r="P417" s="41"/>
    </row>
    <row r="418" spans="16:16" ht="39" customHeight="1">
      <c r="P418" s="41"/>
    </row>
    <row r="419" spans="16:16" ht="39" customHeight="1">
      <c r="P419" s="41"/>
    </row>
    <row r="420" spans="16:16" ht="39" customHeight="1">
      <c r="P420" s="41"/>
    </row>
    <row r="421" spans="16:16" ht="39" customHeight="1">
      <c r="P421" s="41"/>
    </row>
    <row r="422" spans="16:16" ht="39" customHeight="1">
      <c r="P422" s="41"/>
    </row>
    <row r="423" spans="16:16" ht="39" customHeight="1">
      <c r="P423" s="34"/>
    </row>
    <row r="424" spans="16:16" ht="39" customHeight="1">
      <c r="P424" s="34"/>
    </row>
    <row r="425" spans="16:16" ht="39" customHeight="1">
      <c r="P425" s="34"/>
    </row>
    <row r="426" spans="16:16" ht="39" customHeight="1">
      <c r="P426" s="34"/>
    </row>
    <row r="427" spans="16:16" ht="39" customHeight="1">
      <c r="P427" s="34"/>
    </row>
    <row r="428" spans="16:16" ht="39" customHeight="1">
      <c r="P428" s="34"/>
    </row>
    <row r="429" spans="16:16" ht="39" customHeight="1">
      <c r="P429" s="34"/>
    </row>
    <row r="430" spans="16:16" ht="39" customHeight="1">
      <c r="P430" s="34"/>
    </row>
    <row r="431" spans="16:16" ht="39" customHeight="1">
      <c r="P431" s="35"/>
    </row>
    <row r="432" spans="16:16" ht="39" customHeight="1">
      <c r="P432" s="35"/>
    </row>
    <row r="433" spans="16:16" ht="39" customHeight="1">
      <c r="P433" s="35"/>
    </row>
    <row r="434" spans="16:16" ht="39" customHeight="1">
      <c r="P434" s="35"/>
    </row>
    <row r="435" spans="16:16" ht="39" customHeight="1">
      <c r="P435" s="23"/>
    </row>
    <row r="436" spans="16:16" ht="39" customHeight="1">
      <c r="P436" s="22"/>
    </row>
    <row r="437" spans="16:16" ht="39" customHeight="1">
      <c r="P437" s="22"/>
    </row>
    <row r="438" spans="16:16" ht="39" customHeight="1">
      <c r="P438" s="22"/>
    </row>
    <row r="439" spans="16:16" ht="39" customHeight="1">
      <c r="P439" s="22"/>
    </row>
    <row r="440" spans="16:16" ht="39" customHeight="1">
      <c r="P440" s="22"/>
    </row>
    <row r="441" spans="16:16" ht="39" customHeight="1">
      <c r="P441" s="22"/>
    </row>
    <row r="442" spans="16:16" ht="39" customHeight="1">
      <c r="P442" s="22"/>
    </row>
    <row r="443" spans="16:16" ht="39" customHeight="1">
      <c r="P443" s="22"/>
    </row>
    <row r="444" spans="16:16" ht="39" customHeight="1">
      <c r="P444" s="22"/>
    </row>
    <row r="445" spans="16:16" ht="39" customHeight="1">
      <c r="P445" s="22"/>
    </row>
    <row r="446" spans="16:16" ht="39" customHeight="1">
      <c r="P446" s="22"/>
    </row>
    <row r="447" spans="16:16" ht="39" customHeight="1">
      <c r="P447" s="22"/>
    </row>
  </sheetData>
  <dataConsolidate/>
  <phoneticPr fontId="3" type="noConversion"/>
  <hyperlinks>
    <hyperlink ref="J2" r:id="rId1" xr:uid="{81E06F35-0062-3742-A9B7-88889D5EF28D}"/>
    <hyperlink ref="J4" r:id="rId2" xr:uid="{EB1229EE-38F0-A149-BA71-DC7A4764A099}"/>
    <hyperlink ref="J21" r:id="rId3" xr:uid="{FF43D94E-EAB0-C84B-8CAB-2472861481B4}"/>
    <hyperlink ref="J22" r:id="rId4" xr:uid="{C5FE6611-F5B2-1149-844B-64BD8F082537}"/>
    <hyperlink ref="J23" r:id="rId5" xr:uid="{37AEF099-E4D0-2042-8274-81AA7522EEBD}"/>
    <hyperlink ref="J24" r:id="rId6" xr:uid="{D7A148BC-BE83-F744-A4F4-E5B3528AB851}"/>
    <hyperlink ref="J25" r:id="rId7" xr:uid="{B4C35C4E-DD37-0F45-8464-2E95C9E1F675}"/>
    <hyperlink ref="J31" r:id="rId8" xr:uid="{99141318-4118-5E47-88F8-EC7599046251}"/>
    <hyperlink ref="J33" r:id="rId9" xr:uid="{06DC3EB4-C08D-6344-8D1E-920D0BEB8314}"/>
    <hyperlink ref="J37" r:id="rId10" xr:uid="{C7A7F9F4-761F-4B45-8410-9071A1464426}"/>
    <hyperlink ref="J42" r:id="rId11" xr:uid="{4EB2E5A9-53DA-5447-A76E-FB27BA935177}"/>
    <hyperlink ref="J44" r:id="rId12" xr:uid="{3FEB2B52-6371-0847-96E5-CFB66ADCB138}"/>
    <hyperlink ref="J55" r:id="rId13" xr:uid="{A3539AD1-ACCD-2F47-B10F-4F4D7759D6FE}"/>
    <hyperlink ref="J57" r:id="rId14" xr:uid="{8A548105-5C9D-5F4A-B77E-C72B0F217F00}"/>
    <hyperlink ref="J59" r:id="rId15" xr:uid="{7424564C-CD85-BE4B-84A7-571E9478E264}"/>
    <hyperlink ref="J222" r:id="rId16" xr:uid="{7436A606-1DFA-9940-A904-F78A5000FC0C}"/>
    <hyperlink ref="J225" r:id="rId17" xr:uid="{780F343B-BF7B-B246-9FA1-ECB146499862}"/>
    <hyperlink ref="J226" r:id="rId18" xr:uid="{83D6D2E5-278F-8440-AEDE-8D8496D5275D}"/>
    <hyperlink ref="J234" r:id="rId19" xr:uid="{4DBAD4E4-B8A0-2F4C-85C0-FECD4D09D1A0}"/>
    <hyperlink ref="J322" r:id="rId20" xr:uid="{25578197-CD00-194C-8894-1BE75C9EF679}"/>
    <hyperlink ref="J262" r:id="rId21" xr:uid="{CEC0A22C-68E6-1343-94DA-F8221E90AC76}"/>
    <hyperlink ref="J264" r:id="rId22" xr:uid="{939D57DE-EA8B-C049-95C6-02549D6742C2}"/>
    <hyperlink ref="J278" r:id="rId23" xr:uid="{4D90BE72-41D6-1847-AB97-2279ED130098}"/>
    <hyperlink ref="J306" r:id="rId24" xr:uid="{4809B2AA-7250-444A-82AE-D169D1AAB239}"/>
    <hyperlink ref="J349" r:id="rId25" xr:uid="{3FF7B3CF-7BF4-E947-9198-69B6C1954E1C}"/>
    <hyperlink ref="J334" r:id="rId26" xr:uid="{7F10933B-4D1E-3C4D-9D26-B1DDDB635A46}"/>
    <hyperlink ref="Q2" r:id="rId27" xr:uid="{BF6F358D-4C17-7F4D-8CB5-96D5511A6268}"/>
    <hyperlink ref="Q3:Q323" r:id="rId28" display="Service Owner - Expert - manager follow this link " xr:uid="{CF995C54-624D-A840-BD8C-69B508148B74}"/>
    <hyperlink ref="Q324:Q350" r:id="rId29" display="Service Owner - Expert - manager follow this link " xr:uid="{FFBBD469-FD35-EF44-8486-916462EC04C5}"/>
    <hyperlink ref="Q351" r:id="rId30" xr:uid="{9D06E6AE-D122-3048-A9C6-62C7FECE3A85}"/>
    <hyperlink ref="Q352:Q353" r:id="rId31" display="Service Owner - Expert - manager follow this link " xr:uid="{5893EC7D-F6D2-B440-A6A8-579E0A76E043}"/>
    <hyperlink ref="Q338" r:id="rId32" xr:uid="{8F257996-D42E-EC45-85BD-D0A50B8E1AA9}"/>
    <hyperlink ref="J170" r:id="rId33" xr:uid="{72F355C3-FD02-4E4E-BEF4-8DA35848674C}"/>
    <hyperlink ref="J176" r:id="rId34" xr:uid="{63C932DC-D2F0-4841-A97B-E0E542DCC075}"/>
    <hyperlink ref="J188" r:id="rId35" xr:uid="{57C22EFC-6C3D-9E4E-9070-DE23D5B1A946}"/>
    <hyperlink ref="J189" r:id="rId36" xr:uid="{05554CEA-F069-EB4E-9486-148406A5D4AB}"/>
    <hyperlink ref="J195" r:id="rId37" xr:uid="{E5699B0C-E0B6-C145-8954-F988E7B2B8D7}"/>
    <hyperlink ref="J202" r:id="rId38" xr:uid="{1835EA3C-FDAA-7747-999D-0EFDA36F45DB}"/>
    <hyperlink ref="Q364" r:id="rId39" xr:uid="{DB1774D4-E653-4F41-BEE1-1A3A94875BA9}"/>
    <hyperlink ref="Q365" r:id="rId40" xr:uid="{4339ACB7-3CD8-9642-8702-1F30D4E0212F}"/>
    <hyperlink ref="Q366" r:id="rId41" xr:uid="{17D5C4E3-0E53-4F44-8332-651A3C6AB9F3}"/>
    <hyperlink ref="Q367" r:id="rId42" xr:uid="{62AED452-F7B4-6346-AA17-384745C480A6}"/>
    <hyperlink ref="Q368" r:id="rId43" xr:uid="{F59AFB36-B8E0-0A48-86BA-9FF54823310D}"/>
    <hyperlink ref="Q356" r:id="rId44" xr:uid="{74589705-0ECD-BF46-AD64-2DC4BB0A143E}"/>
    <hyperlink ref="Q357" r:id="rId45" xr:uid="{D5193FE8-8809-954B-9A4F-B14B80220A3F}"/>
    <hyperlink ref="Q358" r:id="rId46" xr:uid="{651FBA62-82BF-AD4E-BC6B-C440DE28C279}"/>
    <hyperlink ref="Q359" r:id="rId47" xr:uid="{3C9534A6-DCD4-5240-B918-7B64F6F38F35}"/>
    <hyperlink ref="Q360" r:id="rId48" xr:uid="{06A6E821-1368-CB4B-927E-5224B69E8E44}"/>
    <hyperlink ref="Q362" r:id="rId49" xr:uid="{9BC94F81-3739-954E-976D-A52653ACD723}"/>
    <hyperlink ref="Q363" r:id="rId50" xr:uid="{3F42C0E4-B699-2941-9ECC-5A4BA9EE59EB}"/>
    <hyperlink ref="Q340" r:id="rId51" xr:uid="{5DF87E5C-DC68-2F4D-93E8-2F1DFCE0A215}"/>
    <hyperlink ref="J206" r:id="rId52" xr:uid="{8E206F22-851F-4526-AAFE-8B405517726E}"/>
    <hyperlink ref="J237" r:id="rId53" xr:uid="{9C3E5C16-5657-477D-A640-DDE16365BCBF}"/>
    <hyperlink ref="J81" r:id="rId54" xr:uid="{57D83708-AF46-4330-B079-A2F9FB126FC6}"/>
  </hyperlinks>
  <pageMargins left="0.7" right="0.7" top="0.75" bottom="0.75" header="0.3" footer="0.3"/>
  <pageSetup paperSize="9" orientation="portrait" r:id="rId55"/>
  <headerFooter>
    <oddHeader>&amp;C&amp;"Calibri"&amp;10&amp;K4A569E Internal&amp;1#_x000D_</oddHeader>
  </headerFooter>
  <legacyDrawing r:id="rId56"/>
  <tableParts count="1">
    <tablePart r:id="rId5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BB07-A82C-4F16-BEE9-7D474F7D459D}">
  <dimension ref="A1:AB3"/>
  <sheetViews>
    <sheetView workbookViewId="0">
      <selection activeCell="A2" sqref="A2"/>
    </sheetView>
  </sheetViews>
  <sheetFormatPr defaultColWidth="8.5703125" defaultRowHeight="15"/>
  <cols>
    <col min="1" max="1" width="11.42578125" bestFit="1" customWidth="1"/>
    <col min="2" max="2" width="14.5703125" customWidth="1"/>
    <col min="3" max="3" width="19.42578125" customWidth="1"/>
    <col min="4" max="4" width="11.5703125" customWidth="1"/>
    <col min="5" max="5" width="11.42578125" customWidth="1"/>
    <col min="6" max="6" width="17.42578125" customWidth="1"/>
    <col min="7" max="7" width="21.42578125" customWidth="1"/>
    <col min="8" max="8" width="22" customWidth="1"/>
    <col min="9" max="9" width="24.5703125" customWidth="1"/>
    <col min="10" max="10" width="27.5703125" customWidth="1"/>
    <col min="11" max="11" width="31.5703125" customWidth="1"/>
    <col min="12" max="12" width="11.42578125" customWidth="1"/>
    <col min="13" max="13" width="21.42578125" customWidth="1"/>
    <col min="14" max="14" width="17.42578125" customWidth="1"/>
    <col min="15" max="15" width="25.42578125" customWidth="1"/>
    <col min="16" max="16" width="25.5703125" customWidth="1"/>
    <col min="17" max="17" width="46.5703125" customWidth="1"/>
    <col min="18" max="18" width="19.42578125" customWidth="1"/>
    <col min="19" max="19" width="11" customWidth="1"/>
    <col min="20" max="20" width="18.5703125" customWidth="1"/>
    <col min="21" max="21" width="22.5703125" customWidth="1"/>
    <col min="22" max="22" width="24.42578125" customWidth="1"/>
    <col min="23" max="23" width="11.5703125" customWidth="1"/>
    <col min="24" max="24" width="8.5703125" customWidth="1"/>
    <col min="25" max="25" width="25.5703125" customWidth="1"/>
    <col min="26" max="26" width="46.5703125" customWidth="1"/>
    <col min="27" max="27" width="10.42578125" customWidth="1"/>
    <col min="28" max="28" width="16.5703125" customWidth="1"/>
  </cols>
  <sheetData>
    <row r="1" spans="1:28" ht="37.35" customHeight="1" thickBot="1">
      <c r="A1" s="71" t="s">
        <v>58</v>
      </c>
      <c r="B1" s="62" t="s">
        <v>17</v>
      </c>
      <c r="C1" s="55" t="s">
        <v>23</v>
      </c>
      <c r="D1" s="62" t="s">
        <v>59</v>
      </c>
      <c r="E1" s="62" t="s">
        <v>29</v>
      </c>
      <c r="F1" s="62" t="s">
        <v>32</v>
      </c>
      <c r="G1" s="62" t="s">
        <v>60</v>
      </c>
      <c r="H1" s="63" t="s">
        <v>1439</v>
      </c>
      <c r="I1" s="56" t="s">
        <v>39</v>
      </c>
      <c r="J1" s="56" t="s">
        <v>62</v>
      </c>
      <c r="K1" s="56" t="s">
        <v>63</v>
      </c>
      <c r="L1" s="62" t="s">
        <v>64</v>
      </c>
      <c r="M1" s="64" t="s">
        <v>43</v>
      </c>
      <c r="N1" s="64" t="s">
        <v>65</v>
      </c>
      <c r="O1" s="64" t="s">
        <v>66</v>
      </c>
      <c r="P1" s="64" t="s">
        <v>67</v>
      </c>
      <c r="Q1" s="62" t="s">
        <v>68</v>
      </c>
      <c r="R1" s="56" t="s">
        <v>69</v>
      </c>
      <c r="S1" s="56" t="s">
        <v>51</v>
      </c>
      <c r="T1" s="56" t="s">
        <v>70</v>
      </c>
      <c r="U1" s="56" t="s">
        <v>71</v>
      </c>
      <c r="V1" s="62" t="s">
        <v>53</v>
      </c>
      <c r="W1" s="62" t="s">
        <v>72</v>
      </c>
      <c r="X1" s="62" t="s">
        <v>73</v>
      </c>
      <c r="Y1" s="65" t="s">
        <v>74</v>
      </c>
      <c r="Z1" s="66" t="s">
        <v>75</v>
      </c>
      <c r="AA1" s="67" t="s">
        <v>76</v>
      </c>
      <c r="AB1" t="s">
        <v>1440</v>
      </c>
    </row>
    <row r="2" spans="1:28" ht="15.75" thickTop="1">
      <c r="A2" s="72" t="s">
        <v>1441</v>
      </c>
      <c r="B2" s="32" t="s">
        <v>78</v>
      </c>
      <c r="C2" s="32" t="s">
        <v>92</v>
      </c>
      <c r="D2" s="32" t="s">
        <v>217</v>
      </c>
      <c r="E2" s="32" t="s">
        <v>218</v>
      </c>
      <c r="F2" s="57" t="s">
        <v>192</v>
      </c>
      <c r="G2" s="32" t="s">
        <v>1442</v>
      </c>
      <c r="H2" s="32" t="s">
        <v>1443</v>
      </c>
      <c r="I2" s="32" t="s">
        <v>89</v>
      </c>
      <c r="J2" s="32" t="s">
        <v>89</v>
      </c>
      <c r="K2" s="32" t="s">
        <v>89</v>
      </c>
      <c r="L2" s="32" t="s">
        <v>224</v>
      </c>
      <c r="M2" s="58">
        <v>21.75</v>
      </c>
      <c r="N2" s="68">
        <v>6</v>
      </c>
      <c r="O2" s="68" t="str">
        <f>IF(ISNUMBER(SEARCH("IMS",PMS_Catalog[[#This Row],[WU Id]])),"IMS",PMS_Catalog[[#This Row],[UNIQUE PRICE per hour]]*PMS_Catalog[[#This Row],[PMS Effort (Hours)]])</f>
        <v>IMS</v>
      </c>
      <c r="P2" s="68">
        <v>28</v>
      </c>
      <c r="Q2" s="69" t="s">
        <v>88</v>
      </c>
      <c r="R2" s="32" t="s">
        <v>89</v>
      </c>
      <c r="S2" s="32"/>
      <c r="T2" s="33">
        <v>44768</v>
      </c>
      <c r="U2" s="32" t="s">
        <v>90</v>
      </c>
      <c r="V2" s="33">
        <v>44652</v>
      </c>
      <c r="W2" s="32">
        <f ca="1">DATEDIF(V2, TODAY(), "Y")</f>
        <v>4</v>
      </c>
      <c r="X2" s="32" cm="1">
        <f t="array" aca="1" ref="X2" ca="1">_xlfn.IFS('IMS - PMS - WU Catalog'!W69=1,8%,'IMS - PMS - WU Catalog'!W69=2,10%,'IMS - PMS - WU Catalog'!W69&gt;2,10%,'IMS - PMS - WU Catalog'!W69&lt;1,0)</f>
        <v>0.1</v>
      </c>
      <c r="Y2" s="59" t="e">
        <f ca="1">IF(ISNUMBER(SEARCH("IMS",A2)),"IMS",O2-O2*X2)</f>
        <v>#VALUE!</v>
      </c>
      <c r="Z2" s="60"/>
      <c r="AA2" s="61" t="str">
        <f>LEFT(PMS_Catalog[[#This Row],[WU Id]],3)</f>
        <v>IMS</v>
      </c>
      <c r="AB2" s="70">
        <v>45961</v>
      </c>
    </row>
    <row r="3" spans="1:28">
      <c r="A3" s="72" t="s">
        <v>1444</v>
      </c>
      <c r="B3" s="32" t="s">
        <v>78</v>
      </c>
      <c r="C3" s="32" t="s">
        <v>92</v>
      </c>
      <c r="D3" s="32" t="s">
        <v>217</v>
      </c>
      <c r="E3" s="32" t="s">
        <v>218</v>
      </c>
      <c r="F3" s="57" t="s">
        <v>192</v>
      </c>
      <c r="G3" s="32" t="s">
        <v>1445</v>
      </c>
      <c r="H3" s="32" t="s">
        <v>1446</v>
      </c>
      <c r="I3" s="32" t="s">
        <v>89</v>
      </c>
      <c r="J3" s="32" t="s">
        <v>89</v>
      </c>
      <c r="K3" s="32" t="s">
        <v>89</v>
      </c>
      <c r="L3" s="32" t="s">
        <v>224</v>
      </c>
      <c r="M3" s="58">
        <v>21.75</v>
      </c>
      <c r="N3" s="68">
        <v>4.5</v>
      </c>
      <c r="O3" s="68" t="str">
        <f>IF(ISNUMBER(SEARCH("IMS",PMS_Catalog[[#This Row],[WU Id]])),"IMS",PMS_Catalog[[#This Row],[UNIQUE PRICE per hour]]*PMS_Catalog[[#This Row],[PMS Effort (Hours)]])</f>
        <v>IMS</v>
      </c>
      <c r="P3" s="68">
        <v>10</v>
      </c>
      <c r="Q3" s="69" t="s">
        <v>88</v>
      </c>
      <c r="R3" s="32" t="s">
        <v>89</v>
      </c>
      <c r="S3" s="32"/>
      <c r="T3" s="33">
        <v>44768</v>
      </c>
      <c r="U3" s="32" t="s">
        <v>90</v>
      </c>
      <c r="V3" s="33">
        <v>44652</v>
      </c>
      <c r="W3" s="32">
        <f ca="1">DATEDIF(V3, TODAY(), "Y")</f>
        <v>4</v>
      </c>
      <c r="X3" s="32" cm="1">
        <f t="array" aca="1" ref="X3" ca="1">_xlfn.IFS('IMS - PMS - WU Catalog'!W73=1,8%,'IMS - PMS - WU Catalog'!W73=2,10%,'IMS - PMS - WU Catalog'!W73&gt;2,10%,'IMS - PMS - WU Catalog'!W73&lt;1,0)</f>
        <v>0.1</v>
      </c>
      <c r="Y3" s="59" t="e">
        <f ca="1">IF(ISNUMBER(SEARCH("IMS",A3)),"IMS",O3-O3*X3)</f>
        <v>#VALUE!</v>
      </c>
      <c r="Z3" s="60"/>
      <c r="AA3" s="61" t="str">
        <f>LEFT(PMS_Catalog[[#This Row],[WU Id]],3)</f>
        <v>IMS</v>
      </c>
      <c r="AB3" s="70">
        <v>45961</v>
      </c>
    </row>
  </sheetData>
  <hyperlinks>
    <hyperlink ref="Q2" r:id="rId1" xr:uid="{908D373D-99DA-4B7E-AC91-512C0998AEAD}"/>
    <hyperlink ref="Q3" r:id="rId2" xr:uid="{B22673EB-1F03-4308-94B7-3A93FB4A964B}"/>
  </hyperlinks>
  <pageMargins left="0.7" right="0.7" top="0.75" bottom="0.75" header="0.3" footer="0.3"/>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4CA83-E24C-43AD-9FA3-1A47EBCDB98D}">
  <sheetPr>
    <tabColor rgb="FF7030A0"/>
  </sheetPr>
  <dimension ref="A1:G247"/>
  <sheetViews>
    <sheetView topLeftCell="A31" workbookViewId="0">
      <selection activeCell="D18" sqref="D5:D24"/>
    </sheetView>
  </sheetViews>
  <sheetFormatPr defaultColWidth="8.5703125" defaultRowHeight="15"/>
  <cols>
    <col min="1" max="1" width="23.42578125" bestFit="1" customWidth="1"/>
    <col min="2" max="2" width="13.5703125" bestFit="1" customWidth="1"/>
    <col min="3" max="3" width="9.5703125" customWidth="1"/>
    <col min="4" max="4" width="31.5703125" bestFit="1" customWidth="1"/>
    <col min="5" max="7" width="10.5703125" bestFit="1" customWidth="1"/>
  </cols>
  <sheetData>
    <row r="1" spans="1:7">
      <c r="A1" s="42" t="s">
        <v>76</v>
      </c>
      <c r="B1" t="s">
        <v>5</v>
      </c>
    </row>
    <row r="3" spans="1:7">
      <c r="A3" s="42" t="s">
        <v>32</v>
      </c>
      <c r="B3" s="42" t="s">
        <v>58</v>
      </c>
      <c r="D3" s="42" t="s">
        <v>1447</v>
      </c>
      <c r="E3" s="42" t="s">
        <v>76</v>
      </c>
    </row>
    <row r="4" spans="1:7">
      <c r="A4" t="s">
        <v>699</v>
      </c>
      <c r="B4" t="s">
        <v>698</v>
      </c>
      <c r="D4" s="42" t="s">
        <v>32</v>
      </c>
      <c r="E4" t="s">
        <v>7</v>
      </c>
      <c r="F4" t="s">
        <v>5</v>
      </c>
      <c r="G4" t="s">
        <v>1448</v>
      </c>
    </row>
    <row r="5" spans="1:7">
      <c r="B5" t="s">
        <v>706</v>
      </c>
      <c r="D5" t="s">
        <v>422</v>
      </c>
      <c r="E5" s="43">
        <v>7</v>
      </c>
      <c r="F5" s="43"/>
      <c r="G5" s="43">
        <v>7</v>
      </c>
    </row>
    <row r="6" spans="1:7">
      <c r="B6" t="s">
        <v>1386</v>
      </c>
      <c r="D6" t="s">
        <v>699</v>
      </c>
      <c r="E6" s="43">
        <v>1</v>
      </c>
      <c r="F6" s="43">
        <v>3</v>
      </c>
      <c r="G6" s="43">
        <v>4</v>
      </c>
    </row>
    <row r="7" spans="1:7">
      <c r="A7" t="s">
        <v>140</v>
      </c>
      <c r="B7" t="s">
        <v>284</v>
      </c>
      <c r="D7" t="s">
        <v>732</v>
      </c>
      <c r="E7" s="43">
        <v>2</v>
      </c>
      <c r="F7" s="43"/>
      <c r="G7" s="43">
        <v>2</v>
      </c>
    </row>
    <row r="8" spans="1:7">
      <c r="B8" t="s">
        <v>1047</v>
      </c>
      <c r="D8" t="s">
        <v>858</v>
      </c>
      <c r="E8" s="43">
        <v>1</v>
      </c>
      <c r="F8" s="43"/>
      <c r="G8" s="43">
        <v>1</v>
      </c>
    </row>
    <row r="9" spans="1:7">
      <c r="A9" t="s">
        <v>408</v>
      </c>
      <c r="B9" t="s">
        <v>1044</v>
      </c>
      <c r="D9" t="s">
        <v>81</v>
      </c>
      <c r="E9" s="43">
        <v>66</v>
      </c>
      <c r="F9" s="43"/>
      <c r="G9" s="43">
        <v>66</v>
      </c>
    </row>
    <row r="10" spans="1:7">
      <c r="B10" t="s">
        <v>728</v>
      </c>
      <c r="D10" t="s">
        <v>140</v>
      </c>
      <c r="E10" s="43">
        <v>28</v>
      </c>
      <c r="F10" s="43">
        <v>2</v>
      </c>
      <c r="G10" s="43">
        <v>30</v>
      </c>
    </row>
    <row r="11" spans="1:7">
      <c r="B11" t="s">
        <v>1209</v>
      </c>
      <c r="D11" t="s">
        <v>408</v>
      </c>
      <c r="E11" s="43">
        <v>5</v>
      </c>
      <c r="F11" s="43">
        <v>13</v>
      </c>
      <c r="G11" s="43">
        <v>18</v>
      </c>
    </row>
    <row r="12" spans="1:7">
      <c r="B12" t="s">
        <v>1214</v>
      </c>
      <c r="D12" t="s">
        <v>101</v>
      </c>
      <c r="E12" s="43">
        <v>1</v>
      </c>
      <c r="F12" s="43"/>
      <c r="G12" s="43">
        <v>1</v>
      </c>
    </row>
    <row r="13" spans="1:7">
      <c r="B13" t="s">
        <v>1217</v>
      </c>
      <c r="D13" t="s">
        <v>125</v>
      </c>
      <c r="E13" s="43">
        <v>3</v>
      </c>
      <c r="F13" s="43"/>
      <c r="G13" s="43">
        <v>3</v>
      </c>
    </row>
    <row r="14" spans="1:7">
      <c r="B14" t="s">
        <v>1326</v>
      </c>
      <c r="D14" t="s">
        <v>372</v>
      </c>
      <c r="E14" s="43"/>
      <c r="F14" s="43">
        <v>1</v>
      </c>
      <c r="G14" s="43">
        <v>1</v>
      </c>
    </row>
    <row r="15" spans="1:7">
      <c r="B15" t="s">
        <v>1329</v>
      </c>
      <c r="D15" t="s">
        <v>155</v>
      </c>
      <c r="E15" s="43">
        <v>5</v>
      </c>
      <c r="F15" s="43"/>
      <c r="G15" s="43">
        <v>5</v>
      </c>
    </row>
    <row r="16" spans="1:7">
      <c r="B16" t="s">
        <v>1332</v>
      </c>
      <c r="D16" t="s">
        <v>854</v>
      </c>
      <c r="E16" s="43">
        <v>1</v>
      </c>
      <c r="F16" s="43"/>
      <c r="G16" s="43">
        <v>1</v>
      </c>
    </row>
    <row r="17" spans="1:7">
      <c r="B17" t="s">
        <v>1338</v>
      </c>
      <c r="D17" t="s">
        <v>552</v>
      </c>
      <c r="E17" s="43"/>
      <c r="F17" s="43">
        <v>5</v>
      </c>
      <c r="G17" s="43">
        <v>5</v>
      </c>
    </row>
    <row r="18" spans="1:7">
      <c r="B18" t="s">
        <v>1341</v>
      </c>
      <c r="D18" t="s">
        <v>280</v>
      </c>
      <c r="E18" s="43"/>
      <c r="F18" s="43">
        <v>32</v>
      </c>
      <c r="G18" s="43">
        <v>32</v>
      </c>
    </row>
    <row r="19" spans="1:7">
      <c r="B19" t="s">
        <v>1344</v>
      </c>
      <c r="D19" t="s">
        <v>95</v>
      </c>
      <c r="E19" s="43">
        <v>2</v>
      </c>
      <c r="F19" s="43"/>
      <c r="G19" s="43">
        <v>2</v>
      </c>
    </row>
    <row r="20" spans="1:7">
      <c r="B20" t="s">
        <v>1347</v>
      </c>
      <c r="D20" t="s">
        <v>134</v>
      </c>
      <c r="E20" s="43">
        <v>5</v>
      </c>
      <c r="F20" s="43"/>
      <c r="G20" s="43">
        <v>5</v>
      </c>
    </row>
    <row r="21" spans="1:7">
      <c r="B21" t="s">
        <v>1354</v>
      </c>
      <c r="D21" t="s">
        <v>599</v>
      </c>
      <c r="E21" s="43">
        <v>5</v>
      </c>
      <c r="F21" s="43">
        <v>1</v>
      </c>
      <c r="G21" s="43">
        <v>6</v>
      </c>
    </row>
    <row r="22" spans="1:7">
      <c r="A22" t="s">
        <v>372</v>
      </c>
      <c r="B22" t="s">
        <v>371</v>
      </c>
      <c r="D22" t="s">
        <v>192</v>
      </c>
      <c r="E22" s="43"/>
      <c r="F22" s="43">
        <v>184</v>
      </c>
      <c r="G22" s="43">
        <v>184</v>
      </c>
    </row>
    <row r="23" spans="1:7">
      <c r="A23" t="s">
        <v>552</v>
      </c>
      <c r="B23" t="s">
        <v>551</v>
      </c>
      <c r="D23" t="s">
        <v>1415</v>
      </c>
      <c r="E23" s="43"/>
      <c r="F23" s="43">
        <v>1</v>
      </c>
      <c r="G23" s="43">
        <v>1</v>
      </c>
    </row>
    <row r="24" spans="1:7">
      <c r="B24" t="s">
        <v>556</v>
      </c>
      <c r="D24" t="s">
        <v>1423</v>
      </c>
      <c r="E24" s="43"/>
      <c r="F24" s="43">
        <v>1</v>
      </c>
      <c r="G24" s="43">
        <v>1</v>
      </c>
    </row>
    <row r="25" spans="1:7">
      <c r="B25" t="s">
        <v>579</v>
      </c>
      <c r="D25" t="s">
        <v>1448</v>
      </c>
      <c r="E25" s="43">
        <v>132</v>
      </c>
      <c r="F25" s="43">
        <v>243</v>
      </c>
      <c r="G25" s="43">
        <v>375</v>
      </c>
    </row>
    <row r="26" spans="1:7">
      <c r="B26" t="s">
        <v>1363</v>
      </c>
    </row>
    <row r="27" spans="1:7">
      <c r="B27" t="s">
        <v>1427</v>
      </c>
    </row>
    <row r="28" spans="1:7">
      <c r="A28" t="s">
        <v>280</v>
      </c>
      <c r="B28" t="s">
        <v>279</v>
      </c>
    </row>
    <row r="29" spans="1:7">
      <c r="B29" t="s">
        <v>363</v>
      </c>
    </row>
    <row r="30" spans="1:7">
      <c r="B30" t="s">
        <v>367</v>
      </c>
    </row>
    <row r="31" spans="1:7">
      <c r="B31" t="s">
        <v>398</v>
      </c>
    </row>
    <row r="32" spans="1:7">
      <c r="B32" t="s">
        <v>430</v>
      </c>
    </row>
    <row r="33" spans="2:2">
      <c r="B33" t="s">
        <v>435</v>
      </c>
    </row>
    <row r="34" spans="2:2">
      <c r="B34" t="s">
        <v>466</v>
      </c>
    </row>
    <row r="35" spans="2:2">
      <c r="B35" t="s">
        <v>547</v>
      </c>
    </row>
    <row r="36" spans="2:2">
      <c r="B36" t="s">
        <v>582</v>
      </c>
    </row>
    <row r="37" spans="2:2">
      <c r="B37" t="s">
        <v>586</v>
      </c>
    </row>
    <row r="38" spans="2:2">
      <c r="B38" t="s">
        <v>590</v>
      </c>
    </row>
    <row r="39" spans="2:2">
      <c r="B39" t="s">
        <v>621</v>
      </c>
    </row>
    <row r="40" spans="2:2">
      <c r="B40" t="s">
        <v>629</v>
      </c>
    </row>
    <row r="41" spans="2:2">
      <c r="B41" t="s">
        <v>633</v>
      </c>
    </row>
    <row r="42" spans="2:2">
      <c r="B42" t="s">
        <v>638</v>
      </c>
    </row>
    <row r="43" spans="2:2">
      <c r="B43" t="s">
        <v>641</v>
      </c>
    </row>
    <row r="44" spans="2:2">
      <c r="B44" t="s">
        <v>654</v>
      </c>
    </row>
    <row r="45" spans="2:2">
      <c r="B45" t="s">
        <v>1001</v>
      </c>
    </row>
    <row r="46" spans="2:2">
      <c r="B46" t="s">
        <v>658</v>
      </c>
    </row>
    <row r="47" spans="2:2">
      <c r="B47" t="s">
        <v>662</v>
      </c>
    </row>
    <row r="48" spans="2:2">
      <c r="B48" t="s">
        <v>666</v>
      </c>
    </row>
    <row r="49" spans="1:2">
      <c r="B49" t="s">
        <v>669</v>
      </c>
    </row>
    <row r="50" spans="1:2">
      <c r="B50" t="s">
        <v>882</v>
      </c>
    </row>
    <row r="51" spans="1:2">
      <c r="B51" t="s">
        <v>1249</v>
      </c>
    </row>
    <row r="52" spans="1:2">
      <c r="B52" t="s">
        <v>1360</v>
      </c>
    </row>
    <row r="53" spans="1:2">
      <c r="B53" t="s">
        <v>1370</v>
      </c>
    </row>
    <row r="54" spans="1:2">
      <c r="B54" t="s">
        <v>1373</v>
      </c>
    </row>
    <row r="55" spans="1:2">
      <c r="B55" t="s">
        <v>1377</v>
      </c>
    </row>
    <row r="56" spans="1:2">
      <c r="B56" t="s">
        <v>1384</v>
      </c>
    </row>
    <row r="57" spans="1:2">
      <c r="B57" t="s">
        <v>1398</v>
      </c>
    </row>
    <row r="58" spans="1:2">
      <c r="B58" t="s">
        <v>1401</v>
      </c>
    </row>
    <row r="59" spans="1:2">
      <c r="B59" t="s">
        <v>1403</v>
      </c>
    </row>
    <row r="60" spans="1:2">
      <c r="A60" t="s">
        <v>599</v>
      </c>
      <c r="B60" t="s">
        <v>598</v>
      </c>
    </row>
    <row r="61" spans="1:2">
      <c r="A61" t="s">
        <v>192</v>
      </c>
      <c r="B61" t="s">
        <v>190</v>
      </c>
    </row>
    <row r="62" spans="1:2">
      <c r="B62" t="s">
        <v>198</v>
      </c>
    </row>
    <row r="63" spans="1:2">
      <c r="B63" t="s">
        <v>207</v>
      </c>
    </row>
    <row r="64" spans="1:2">
      <c r="B64" t="s">
        <v>211</v>
      </c>
    </row>
    <row r="65" spans="2:2">
      <c r="B65" t="s">
        <v>216</v>
      </c>
    </row>
    <row r="66" spans="2:2">
      <c r="B66" t="s">
        <v>225</v>
      </c>
    </row>
    <row r="67" spans="2:2">
      <c r="B67" t="s">
        <v>1029</v>
      </c>
    </row>
    <row r="68" spans="2:2">
      <c r="B68" t="s">
        <v>229</v>
      </c>
    </row>
    <row r="69" spans="2:2">
      <c r="B69" t="s">
        <v>236</v>
      </c>
    </row>
    <row r="70" spans="2:2">
      <c r="B70" t="s">
        <v>241</v>
      </c>
    </row>
    <row r="71" spans="2:2">
      <c r="B71" t="s">
        <v>247</v>
      </c>
    </row>
    <row r="72" spans="2:2">
      <c r="B72" t="s">
        <v>252</v>
      </c>
    </row>
    <row r="73" spans="2:2">
      <c r="B73" t="s">
        <v>1256</v>
      </c>
    </row>
    <row r="74" spans="2:2">
      <c r="B74" t="s">
        <v>261</v>
      </c>
    </row>
    <row r="75" spans="2:2">
      <c r="B75" t="s">
        <v>1194</v>
      </c>
    </row>
    <row r="76" spans="2:2">
      <c r="B76" t="s">
        <v>268</v>
      </c>
    </row>
    <row r="77" spans="2:2">
      <c r="B77" t="s">
        <v>274</v>
      </c>
    </row>
    <row r="78" spans="2:2">
      <c r="B78" t="s">
        <v>287</v>
      </c>
    </row>
    <row r="79" spans="2:2">
      <c r="B79" t="s">
        <v>295</v>
      </c>
    </row>
    <row r="80" spans="2:2">
      <c r="B80" t="s">
        <v>298</v>
      </c>
    </row>
    <row r="81" spans="2:2">
      <c r="B81" t="s">
        <v>300</v>
      </c>
    </row>
    <row r="82" spans="2:2">
      <c r="B82" t="s">
        <v>303</v>
      </c>
    </row>
    <row r="83" spans="2:2">
      <c r="B83" t="s">
        <v>305</v>
      </c>
    </row>
    <row r="84" spans="2:2">
      <c r="B84" t="s">
        <v>311</v>
      </c>
    </row>
    <row r="85" spans="2:2">
      <c r="B85" t="s">
        <v>317</v>
      </c>
    </row>
    <row r="86" spans="2:2">
      <c r="B86" t="s">
        <v>322</v>
      </c>
    </row>
    <row r="87" spans="2:2">
      <c r="B87" t="s">
        <v>326</v>
      </c>
    </row>
    <row r="88" spans="2:2">
      <c r="B88" t="s">
        <v>330</v>
      </c>
    </row>
    <row r="89" spans="2:2">
      <c r="B89" t="s">
        <v>331</v>
      </c>
    </row>
    <row r="90" spans="2:2">
      <c r="B90" t="s">
        <v>335</v>
      </c>
    </row>
    <row r="91" spans="2:2">
      <c r="B91" t="s">
        <v>337</v>
      </c>
    </row>
    <row r="92" spans="2:2">
      <c r="B92" t="s">
        <v>338</v>
      </c>
    </row>
    <row r="93" spans="2:2">
      <c r="B93" t="s">
        <v>342</v>
      </c>
    </row>
    <row r="94" spans="2:2">
      <c r="B94" t="s">
        <v>344</v>
      </c>
    </row>
    <row r="95" spans="2:2">
      <c r="B95" t="s">
        <v>347</v>
      </c>
    </row>
    <row r="96" spans="2:2">
      <c r="B96" t="s">
        <v>348</v>
      </c>
    </row>
    <row r="97" spans="2:2">
      <c r="B97" t="s">
        <v>349</v>
      </c>
    </row>
    <row r="98" spans="2:2">
      <c r="B98" t="s">
        <v>353</v>
      </c>
    </row>
    <row r="99" spans="2:2">
      <c r="B99" t="s">
        <v>1148</v>
      </c>
    </row>
    <row r="100" spans="2:2">
      <c r="B100" t="s">
        <v>354</v>
      </c>
    </row>
    <row r="101" spans="2:2">
      <c r="B101" t="s">
        <v>358</v>
      </c>
    </row>
    <row r="102" spans="2:2">
      <c r="B102" t="s">
        <v>376</v>
      </c>
    </row>
    <row r="103" spans="2:2">
      <c r="B103" t="s">
        <v>382</v>
      </c>
    </row>
    <row r="104" spans="2:2">
      <c r="B104" t="s">
        <v>386</v>
      </c>
    </row>
    <row r="105" spans="2:2">
      <c r="B105" t="s">
        <v>390</v>
      </c>
    </row>
    <row r="106" spans="2:2">
      <c r="B106" t="s">
        <v>394</v>
      </c>
    </row>
    <row r="107" spans="2:2">
      <c r="B107" t="s">
        <v>402</v>
      </c>
    </row>
    <row r="108" spans="2:2">
      <c r="B108" t="s">
        <v>1441</v>
      </c>
    </row>
    <row r="109" spans="2:2">
      <c r="B109" t="s">
        <v>1444</v>
      </c>
    </row>
    <row r="110" spans="2:2">
      <c r="B110" t="s">
        <v>425</v>
      </c>
    </row>
    <row r="111" spans="2:2">
      <c r="B111" t="s">
        <v>427</v>
      </c>
    </row>
    <row r="112" spans="2:2">
      <c r="B112" t="s">
        <v>433</v>
      </c>
    </row>
    <row r="113" spans="2:2">
      <c r="B113" t="s">
        <v>437</v>
      </c>
    </row>
    <row r="114" spans="2:2">
      <c r="B114" t="s">
        <v>443</v>
      </c>
    </row>
    <row r="115" spans="2:2">
      <c r="B115" t="s">
        <v>460</v>
      </c>
    </row>
    <row r="116" spans="2:2">
      <c r="B116" t="s">
        <v>1035</v>
      </c>
    </row>
    <row r="117" spans="2:2">
      <c r="B117" t="s">
        <v>1041</v>
      </c>
    </row>
    <row r="118" spans="2:2">
      <c r="B118" t="s">
        <v>469</v>
      </c>
    </row>
    <row r="119" spans="2:2">
      <c r="B119" t="s">
        <v>471</v>
      </c>
    </row>
    <row r="120" spans="2:2">
      <c r="B120" t="s">
        <v>473</v>
      </c>
    </row>
    <row r="121" spans="2:2">
      <c r="B121" t="s">
        <v>476</v>
      </c>
    </row>
    <row r="122" spans="2:2">
      <c r="B122" t="s">
        <v>480</v>
      </c>
    </row>
    <row r="123" spans="2:2">
      <c r="B123" t="s">
        <v>481</v>
      </c>
    </row>
    <row r="124" spans="2:2">
      <c r="B124" t="s">
        <v>483</v>
      </c>
    </row>
    <row r="125" spans="2:2">
      <c r="B125" t="s">
        <v>485</v>
      </c>
    </row>
    <row r="126" spans="2:2">
      <c r="B126" t="s">
        <v>487</v>
      </c>
    </row>
    <row r="127" spans="2:2">
      <c r="B127" t="s">
        <v>489</v>
      </c>
    </row>
    <row r="128" spans="2:2">
      <c r="B128" t="s">
        <v>494</v>
      </c>
    </row>
    <row r="129" spans="2:2">
      <c r="B129" t="s">
        <v>497</v>
      </c>
    </row>
    <row r="130" spans="2:2">
      <c r="B130" t="s">
        <v>498</v>
      </c>
    </row>
    <row r="131" spans="2:2">
      <c r="B131" t="s">
        <v>500</v>
      </c>
    </row>
    <row r="132" spans="2:2">
      <c r="B132" t="s">
        <v>504</v>
      </c>
    </row>
    <row r="133" spans="2:2">
      <c r="B133" t="s">
        <v>506</v>
      </c>
    </row>
    <row r="134" spans="2:2">
      <c r="B134" t="s">
        <v>512</v>
      </c>
    </row>
    <row r="135" spans="2:2">
      <c r="B135" t="s">
        <v>515</v>
      </c>
    </row>
    <row r="136" spans="2:2">
      <c r="B136" t="s">
        <v>519</v>
      </c>
    </row>
    <row r="137" spans="2:2">
      <c r="B137" t="s">
        <v>523</v>
      </c>
    </row>
    <row r="138" spans="2:2">
      <c r="B138" t="s">
        <v>528</v>
      </c>
    </row>
    <row r="139" spans="2:2">
      <c r="B139" t="s">
        <v>534</v>
      </c>
    </row>
    <row r="140" spans="2:2">
      <c r="B140" t="s">
        <v>537</v>
      </c>
    </row>
    <row r="141" spans="2:2">
      <c r="B141" t="s">
        <v>544</v>
      </c>
    </row>
    <row r="142" spans="2:2">
      <c r="B142" t="s">
        <v>549</v>
      </c>
    </row>
    <row r="143" spans="2:2">
      <c r="B143" t="s">
        <v>559</v>
      </c>
    </row>
    <row r="144" spans="2:2">
      <c r="B144" t="s">
        <v>562</v>
      </c>
    </row>
    <row r="145" spans="2:2">
      <c r="B145" t="s">
        <v>565</v>
      </c>
    </row>
    <row r="146" spans="2:2">
      <c r="B146" t="s">
        <v>569</v>
      </c>
    </row>
    <row r="147" spans="2:2">
      <c r="B147" t="s">
        <v>572</v>
      </c>
    </row>
    <row r="148" spans="2:2">
      <c r="B148" t="s">
        <v>577</v>
      </c>
    </row>
    <row r="149" spans="2:2">
      <c r="B149" t="s">
        <v>594</v>
      </c>
    </row>
    <row r="150" spans="2:2">
      <c r="B150" t="s">
        <v>603</v>
      </c>
    </row>
    <row r="151" spans="2:2">
      <c r="B151" t="s">
        <v>606</v>
      </c>
    </row>
    <row r="152" spans="2:2">
      <c r="B152" t="s">
        <v>610</v>
      </c>
    </row>
    <row r="153" spans="2:2">
      <c r="B153" t="s">
        <v>1141</v>
      </c>
    </row>
    <row r="154" spans="2:2">
      <c r="B154" t="s">
        <v>614</v>
      </c>
    </row>
    <row r="155" spans="2:2">
      <c r="B155" t="s">
        <v>617</v>
      </c>
    </row>
    <row r="156" spans="2:2">
      <c r="B156" t="s">
        <v>625</v>
      </c>
    </row>
    <row r="157" spans="2:2">
      <c r="B157" t="s">
        <v>648</v>
      </c>
    </row>
    <row r="158" spans="2:2">
      <c r="B158" t="s">
        <v>1196</v>
      </c>
    </row>
    <row r="159" spans="2:2">
      <c r="B159" t="s">
        <v>981</v>
      </c>
    </row>
    <row r="160" spans="2:2">
      <c r="B160" t="s">
        <v>985</v>
      </c>
    </row>
    <row r="161" spans="2:2">
      <c r="B161" t="s">
        <v>681</v>
      </c>
    </row>
    <row r="162" spans="2:2">
      <c r="B162" t="s">
        <v>685</v>
      </c>
    </row>
    <row r="163" spans="2:2">
      <c r="B163" t="s">
        <v>1199</v>
      </c>
    </row>
    <row r="164" spans="2:2">
      <c r="B164" t="s">
        <v>689</v>
      </c>
    </row>
    <row r="165" spans="2:2">
      <c r="B165" t="s">
        <v>695</v>
      </c>
    </row>
    <row r="166" spans="2:2">
      <c r="B166" t="s">
        <v>704</v>
      </c>
    </row>
    <row r="167" spans="2:2">
      <c r="B167" t="s">
        <v>1007</v>
      </c>
    </row>
    <row r="168" spans="2:2">
      <c r="B168" t="s">
        <v>709</v>
      </c>
    </row>
    <row r="169" spans="2:2">
      <c r="B169" t="s">
        <v>716</v>
      </c>
    </row>
    <row r="170" spans="2:2">
      <c r="B170" t="s">
        <v>720</v>
      </c>
    </row>
    <row r="171" spans="2:2">
      <c r="B171" t="s">
        <v>1160</v>
      </c>
    </row>
    <row r="172" spans="2:2">
      <c r="B172" t="s">
        <v>991</v>
      </c>
    </row>
    <row r="173" spans="2:2">
      <c r="B173" t="s">
        <v>1010</v>
      </c>
    </row>
    <row r="174" spans="2:2">
      <c r="B174" t="s">
        <v>1013</v>
      </c>
    </row>
    <row r="175" spans="2:2">
      <c r="B175" t="s">
        <v>449</v>
      </c>
    </row>
    <row r="176" spans="2:2">
      <c r="B176" t="s">
        <v>1017</v>
      </c>
    </row>
    <row r="177" spans="2:2">
      <c r="B177" t="s">
        <v>817</v>
      </c>
    </row>
    <row r="178" spans="2:2">
      <c r="B178" t="s">
        <v>1022</v>
      </c>
    </row>
    <row r="179" spans="2:2">
      <c r="B179" t="s">
        <v>997</v>
      </c>
    </row>
    <row r="180" spans="2:2">
      <c r="B180" t="s">
        <v>1026</v>
      </c>
    </row>
    <row r="181" spans="2:2">
      <c r="B181" t="s">
        <v>1449</v>
      </c>
    </row>
    <row r="182" spans="2:2">
      <c r="B182" t="s">
        <v>884</v>
      </c>
    </row>
    <row r="183" spans="2:2">
      <c r="B183" t="s">
        <v>888</v>
      </c>
    </row>
    <row r="184" spans="2:2">
      <c r="B184" t="s">
        <v>891</v>
      </c>
    </row>
    <row r="185" spans="2:2">
      <c r="B185" t="s">
        <v>892</v>
      </c>
    </row>
    <row r="186" spans="2:2">
      <c r="B186" t="s">
        <v>896</v>
      </c>
    </row>
    <row r="187" spans="2:2">
      <c r="B187" t="s">
        <v>900</v>
      </c>
    </row>
    <row r="188" spans="2:2">
      <c r="B188" t="s">
        <v>905</v>
      </c>
    </row>
    <row r="189" spans="2:2">
      <c r="B189" t="s">
        <v>909</v>
      </c>
    </row>
    <row r="190" spans="2:2">
      <c r="B190" t="s">
        <v>914</v>
      </c>
    </row>
    <row r="191" spans="2:2">
      <c r="B191" t="s">
        <v>918</v>
      </c>
    </row>
    <row r="192" spans="2:2">
      <c r="B192" t="s">
        <v>922</v>
      </c>
    </row>
    <row r="193" spans="2:2">
      <c r="B193" t="s">
        <v>929</v>
      </c>
    </row>
    <row r="194" spans="2:2">
      <c r="B194" t="s">
        <v>934</v>
      </c>
    </row>
    <row r="195" spans="2:2">
      <c r="B195" t="s">
        <v>939</v>
      </c>
    </row>
    <row r="196" spans="2:2">
      <c r="B196" t="s">
        <v>946</v>
      </c>
    </row>
    <row r="197" spans="2:2">
      <c r="B197" t="s">
        <v>952</v>
      </c>
    </row>
    <row r="198" spans="2:2">
      <c r="B198" t="s">
        <v>958</v>
      </c>
    </row>
    <row r="199" spans="2:2">
      <c r="B199" t="s">
        <v>963</v>
      </c>
    </row>
    <row r="200" spans="2:2">
      <c r="B200" t="s">
        <v>965</v>
      </c>
    </row>
    <row r="201" spans="2:2">
      <c r="B201" t="s">
        <v>967</v>
      </c>
    </row>
    <row r="202" spans="2:2">
      <c r="B202" t="s">
        <v>972</v>
      </c>
    </row>
    <row r="203" spans="2:2">
      <c r="B203" t="s">
        <v>974</v>
      </c>
    </row>
    <row r="204" spans="2:2">
      <c r="B204" t="s">
        <v>976</v>
      </c>
    </row>
    <row r="205" spans="2:2">
      <c r="B205" t="s">
        <v>752</v>
      </c>
    </row>
    <row r="206" spans="2:2">
      <c r="B206" t="s">
        <v>1119</v>
      </c>
    </row>
    <row r="207" spans="2:2">
      <c r="B207" t="s">
        <v>1073</v>
      </c>
    </row>
    <row r="208" spans="2:2">
      <c r="B208" t="s">
        <v>1123</v>
      </c>
    </row>
    <row r="209" spans="2:2">
      <c r="B209" t="s">
        <v>1060</v>
      </c>
    </row>
    <row r="210" spans="2:2">
      <c r="B210" t="s">
        <v>1082</v>
      </c>
    </row>
    <row r="211" spans="2:2">
      <c r="B211" t="s">
        <v>1089</v>
      </c>
    </row>
    <row r="212" spans="2:2">
      <c r="B212" t="s">
        <v>1099</v>
      </c>
    </row>
    <row r="213" spans="2:2">
      <c r="B213" t="s">
        <v>1108</v>
      </c>
    </row>
    <row r="214" spans="2:2">
      <c r="B214" t="s">
        <v>1144</v>
      </c>
    </row>
    <row r="215" spans="2:2">
      <c r="B215" t="s">
        <v>1151</v>
      </c>
    </row>
    <row r="216" spans="2:2">
      <c r="B216" t="s">
        <v>1154</v>
      </c>
    </row>
    <row r="217" spans="2:2">
      <c r="B217" t="s">
        <v>1157</v>
      </c>
    </row>
    <row r="218" spans="2:2">
      <c r="B218" t="s">
        <v>1163</v>
      </c>
    </row>
    <row r="219" spans="2:2">
      <c r="B219" t="s">
        <v>1167</v>
      </c>
    </row>
    <row r="220" spans="2:2">
      <c r="B220" t="s">
        <v>1172</v>
      </c>
    </row>
    <row r="221" spans="2:2">
      <c r="B221" t="s">
        <v>1176</v>
      </c>
    </row>
    <row r="222" spans="2:2">
      <c r="B222" t="s">
        <v>1180</v>
      </c>
    </row>
    <row r="223" spans="2:2">
      <c r="B223" t="s">
        <v>1191</v>
      </c>
    </row>
    <row r="224" spans="2:2">
      <c r="B224" t="s">
        <v>1202</v>
      </c>
    </row>
    <row r="225" spans="2:2">
      <c r="B225" t="s">
        <v>1206</v>
      </c>
    </row>
    <row r="226" spans="2:2">
      <c r="B226" t="s">
        <v>1220</v>
      </c>
    </row>
    <row r="227" spans="2:2">
      <c r="B227" t="s">
        <v>1228</v>
      </c>
    </row>
    <row r="228" spans="2:2">
      <c r="B228" t="s">
        <v>1232</v>
      </c>
    </row>
    <row r="229" spans="2:2">
      <c r="B229" t="s">
        <v>1238</v>
      </c>
    </row>
    <row r="230" spans="2:2">
      <c r="B230" t="s">
        <v>1241</v>
      </c>
    </row>
    <row r="231" spans="2:2">
      <c r="B231" t="s">
        <v>1264</v>
      </c>
    </row>
    <row r="232" spans="2:2">
      <c r="B232" t="s">
        <v>1269</v>
      </c>
    </row>
    <row r="233" spans="2:2">
      <c r="B233" t="s">
        <v>1276</v>
      </c>
    </row>
    <row r="234" spans="2:2">
      <c r="B234" t="s">
        <v>1282</v>
      </c>
    </row>
    <row r="235" spans="2:2">
      <c r="B235" t="s">
        <v>1320</v>
      </c>
    </row>
    <row r="236" spans="2:2">
      <c r="B236" t="s">
        <v>1323</v>
      </c>
    </row>
    <row r="237" spans="2:2">
      <c r="B237" t="s">
        <v>1335</v>
      </c>
    </row>
    <row r="238" spans="2:2">
      <c r="B238" t="s">
        <v>1350</v>
      </c>
    </row>
    <row r="239" spans="2:2">
      <c r="B239" t="s">
        <v>1364</v>
      </c>
    </row>
    <row r="240" spans="2:2">
      <c r="B240" t="s">
        <v>1367</v>
      </c>
    </row>
    <row r="241" spans="1:2">
      <c r="B241" t="s">
        <v>1389</v>
      </c>
    </row>
    <row r="242" spans="1:2">
      <c r="B242" t="s">
        <v>1394</v>
      </c>
    </row>
    <row r="243" spans="1:2">
      <c r="B243" t="s">
        <v>1410</v>
      </c>
    </row>
    <row r="244" spans="1:2">
      <c r="B244" t="s">
        <v>1418</v>
      </c>
    </row>
    <row r="245" spans="1:2">
      <c r="A245" t="s">
        <v>1415</v>
      </c>
      <c r="B245" t="s">
        <v>1414</v>
      </c>
    </row>
    <row r="246" spans="1:2">
      <c r="A246" t="s">
        <v>1423</v>
      </c>
      <c r="B246" t="s">
        <v>1422</v>
      </c>
    </row>
    <row r="247" spans="1:2">
      <c r="A247" t="s">
        <v>1448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5D6BF-A8AE-428F-8389-B4606E953CD9}">
  <sheetPr>
    <tabColor rgb="FF7030A0"/>
  </sheetPr>
  <dimension ref="A1:D379"/>
  <sheetViews>
    <sheetView workbookViewId="0">
      <selection activeCell="A3" sqref="A3"/>
    </sheetView>
  </sheetViews>
  <sheetFormatPr defaultColWidth="8.5703125" defaultRowHeight="15"/>
  <cols>
    <col min="1" max="1" width="81.5703125" customWidth="1"/>
    <col min="2" max="3" width="16.42578125" bestFit="1" customWidth="1"/>
    <col min="4" max="4" width="48.42578125" bestFit="1" customWidth="1"/>
    <col min="5" max="7" width="33" bestFit="1" customWidth="1"/>
  </cols>
  <sheetData>
    <row r="1" spans="1:4">
      <c r="A1" s="42" t="s">
        <v>32</v>
      </c>
      <c r="B1" t="s">
        <v>1450</v>
      </c>
    </row>
    <row r="3" spans="1:4">
      <c r="A3" s="42" t="s">
        <v>60</v>
      </c>
      <c r="B3" s="42" t="s">
        <v>58</v>
      </c>
      <c r="C3" s="42" t="s">
        <v>17</v>
      </c>
      <c r="D3" s="42" t="s">
        <v>29</v>
      </c>
    </row>
    <row r="4" spans="1:4">
      <c r="A4" t="s">
        <v>1197</v>
      </c>
      <c r="B4" t="s">
        <v>1196</v>
      </c>
      <c r="C4" t="s">
        <v>78</v>
      </c>
      <c r="D4" t="s">
        <v>170</v>
      </c>
    </row>
    <row r="5" spans="1:4">
      <c r="A5" t="s">
        <v>1212</v>
      </c>
      <c r="B5" t="s">
        <v>1209</v>
      </c>
      <c r="C5" t="s">
        <v>710</v>
      </c>
      <c r="D5" t="s">
        <v>1211</v>
      </c>
    </row>
    <row r="6" spans="1:4">
      <c r="A6" t="s">
        <v>1355</v>
      </c>
      <c r="B6" t="s">
        <v>1354</v>
      </c>
      <c r="C6" t="s">
        <v>78</v>
      </c>
      <c r="D6" t="s">
        <v>1296</v>
      </c>
    </row>
    <row r="7" spans="1:4">
      <c r="A7" t="s">
        <v>1368</v>
      </c>
      <c r="B7" t="s">
        <v>1367</v>
      </c>
      <c r="C7" t="s">
        <v>78</v>
      </c>
      <c r="D7" t="s">
        <v>1296</v>
      </c>
    </row>
    <row r="8" spans="1:4">
      <c r="A8" t="s">
        <v>743</v>
      </c>
      <c r="B8" t="s">
        <v>742</v>
      </c>
      <c r="C8" t="s">
        <v>710</v>
      </c>
      <c r="D8" t="s">
        <v>525</v>
      </c>
    </row>
    <row r="9" spans="1:4">
      <c r="B9" t="s">
        <v>746</v>
      </c>
      <c r="C9" t="s">
        <v>710</v>
      </c>
      <c r="D9" t="s">
        <v>747</v>
      </c>
    </row>
    <row r="10" spans="1:4">
      <c r="A10" t="s">
        <v>1178</v>
      </c>
      <c r="B10" t="s">
        <v>1176</v>
      </c>
      <c r="C10" t="s">
        <v>78</v>
      </c>
      <c r="D10" t="s">
        <v>1177</v>
      </c>
    </row>
    <row r="11" spans="1:4">
      <c r="A11" t="s">
        <v>1002</v>
      </c>
      <c r="B11" t="s">
        <v>1001</v>
      </c>
      <c r="C11" t="s">
        <v>78</v>
      </c>
      <c r="D11" t="s">
        <v>406</v>
      </c>
    </row>
    <row r="12" spans="1:4">
      <c r="A12" t="s">
        <v>885</v>
      </c>
      <c r="B12" t="s">
        <v>884</v>
      </c>
      <c r="C12" t="s">
        <v>78</v>
      </c>
      <c r="D12" t="s">
        <v>289</v>
      </c>
    </row>
    <row r="13" spans="1:4">
      <c r="B13" t="s">
        <v>891</v>
      </c>
      <c r="C13" t="s">
        <v>78</v>
      </c>
      <c r="D13" t="s">
        <v>328</v>
      </c>
    </row>
    <row r="14" spans="1:4">
      <c r="A14" t="s">
        <v>1106</v>
      </c>
      <c r="B14" t="s">
        <v>1105</v>
      </c>
      <c r="C14" t="s">
        <v>78</v>
      </c>
      <c r="D14" t="s">
        <v>930</v>
      </c>
    </row>
    <row r="15" spans="1:4">
      <c r="A15" t="s">
        <v>862</v>
      </c>
      <c r="B15" t="s">
        <v>861</v>
      </c>
      <c r="C15" t="s">
        <v>78</v>
      </c>
      <c r="D15" t="s">
        <v>80</v>
      </c>
    </row>
    <row r="16" spans="1:4">
      <c r="A16" t="s">
        <v>859</v>
      </c>
      <c r="B16" t="s">
        <v>857</v>
      </c>
      <c r="C16" t="s">
        <v>78</v>
      </c>
      <c r="D16" t="s">
        <v>80</v>
      </c>
    </row>
    <row r="17" spans="1:4">
      <c r="A17" t="s">
        <v>82</v>
      </c>
      <c r="B17" t="s">
        <v>77</v>
      </c>
      <c r="C17" t="s">
        <v>78</v>
      </c>
      <c r="D17" t="s">
        <v>80</v>
      </c>
    </row>
    <row r="18" spans="1:4">
      <c r="A18" t="s">
        <v>855</v>
      </c>
      <c r="B18" t="s">
        <v>853</v>
      </c>
      <c r="C18" t="s">
        <v>78</v>
      </c>
      <c r="D18" t="s">
        <v>80</v>
      </c>
    </row>
    <row r="19" spans="1:4">
      <c r="A19" t="s">
        <v>1113</v>
      </c>
      <c r="B19" t="s">
        <v>1112</v>
      </c>
      <c r="C19" t="s">
        <v>78</v>
      </c>
      <c r="D19" t="s">
        <v>930</v>
      </c>
    </row>
    <row r="20" spans="1:4">
      <c r="A20" t="s">
        <v>285</v>
      </c>
      <c r="B20" t="s">
        <v>284</v>
      </c>
      <c r="C20" t="s">
        <v>78</v>
      </c>
      <c r="D20" t="s">
        <v>80</v>
      </c>
    </row>
    <row r="21" spans="1:4">
      <c r="A21" t="s">
        <v>281</v>
      </c>
      <c r="B21" t="s">
        <v>279</v>
      </c>
      <c r="C21" t="s">
        <v>78</v>
      </c>
      <c r="D21" t="s">
        <v>80</v>
      </c>
    </row>
    <row r="22" spans="1:4">
      <c r="A22" t="s">
        <v>275</v>
      </c>
      <c r="B22" t="s">
        <v>274</v>
      </c>
      <c r="C22" t="s">
        <v>78</v>
      </c>
      <c r="D22" t="s">
        <v>80</v>
      </c>
    </row>
    <row r="23" spans="1:4">
      <c r="A23" t="s">
        <v>989</v>
      </c>
      <c r="B23" t="s">
        <v>988</v>
      </c>
      <c r="C23" t="s">
        <v>78</v>
      </c>
      <c r="D23" t="s">
        <v>406</v>
      </c>
    </row>
    <row r="24" spans="1:4">
      <c r="A24" t="s">
        <v>193</v>
      </c>
      <c r="B24" t="s">
        <v>190</v>
      </c>
      <c r="C24" t="s">
        <v>78</v>
      </c>
      <c r="D24" t="s">
        <v>191</v>
      </c>
    </row>
    <row r="25" spans="1:4">
      <c r="A25" t="s">
        <v>320</v>
      </c>
      <c r="B25" t="s">
        <v>317</v>
      </c>
      <c r="C25" t="s">
        <v>78</v>
      </c>
      <c r="D25" t="s">
        <v>319</v>
      </c>
    </row>
    <row r="26" spans="1:4">
      <c r="B26" t="s">
        <v>330</v>
      </c>
      <c r="C26" t="s">
        <v>78</v>
      </c>
      <c r="D26" t="s">
        <v>328</v>
      </c>
    </row>
    <row r="27" spans="1:4">
      <c r="B27" t="s">
        <v>337</v>
      </c>
      <c r="C27" t="s">
        <v>78</v>
      </c>
      <c r="D27" t="s">
        <v>333</v>
      </c>
    </row>
    <row r="28" spans="1:4">
      <c r="B28" t="s">
        <v>348</v>
      </c>
      <c r="C28" t="s">
        <v>78</v>
      </c>
      <c r="D28" t="s">
        <v>346</v>
      </c>
    </row>
    <row r="29" spans="1:4">
      <c r="B29" t="s">
        <v>353</v>
      </c>
      <c r="C29" t="s">
        <v>78</v>
      </c>
      <c r="D29" t="s">
        <v>351</v>
      </c>
    </row>
    <row r="30" spans="1:4">
      <c r="A30" t="s">
        <v>1371</v>
      </c>
      <c r="B30" t="s">
        <v>1370</v>
      </c>
      <c r="C30" t="s">
        <v>78</v>
      </c>
      <c r="D30" t="s">
        <v>1296</v>
      </c>
    </row>
    <row r="31" spans="1:4">
      <c r="A31" t="s">
        <v>1018</v>
      </c>
      <c r="B31" t="s">
        <v>1017</v>
      </c>
      <c r="C31" t="s">
        <v>710</v>
      </c>
      <c r="D31" t="s">
        <v>993</v>
      </c>
    </row>
    <row r="32" spans="1:4">
      <c r="A32" t="s">
        <v>1023</v>
      </c>
      <c r="B32" t="s">
        <v>1022</v>
      </c>
      <c r="C32" t="s">
        <v>710</v>
      </c>
      <c r="D32" t="s">
        <v>993</v>
      </c>
    </row>
    <row r="33" spans="1:4">
      <c r="A33" t="s">
        <v>1162</v>
      </c>
      <c r="B33" t="s">
        <v>1160</v>
      </c>
      <c r="C33" t="s">
        <v>710</v>
      </c>
      <c r="D33" t="s">
        <v>993</v>
      </c>
    </row>
    <row r="34" spans="1:4">
      <c r="A34" t="s">
        <v>1068</v>
      </c>
      <c r="B34" t="s">
        <v>1067</v>
      </c>
      <c r="C34" t="s">
        <v>78</v>
      </c>
      <c r="D34" t="s">
        <v>935</v>
      </c>
    </row>
    <row r="35" spans="1:4">
      <c r="A35" t="s">
        <v>1120</v>
      </c>
      <c r="B35" t="s">
        <v>1119</v>
      </c>
      <c r="C35" t="s">
        <v>78</v>
      </c>
      <c r="D35" t="s">
        <v>935</v>
      </c>
    </row>
    <row r="36" spans="1:4">
      <c r="A36" t="s">
        <v>1291</v>
      </c>
      <c r="B36" t="s">
        <v>1289</v>
      </c>
      <c r="C36" t="s">
        <v>78</v>
      </c>
      <c r="D36" t="s">
        <v>1290</v>
      </c>
    </row>
    <row r="37" spans="1:4">
      <c r="A37" t="s">
        <v>1279</v>
      </c>
      <c r="B37" t="s">
        <v>1276</v>
      </c>
      <c r="C37" t="s">
        <v>78</v>
      </c>
      <c r="D37" t="s">
        <v>1278</v>
      </c>
    </row>
    <row r="38" spans="1:4">
      <c r="A38" t="s">
        <v>700</v>
      </c>
      <c r="B38" t="s">
        <v>731</v>
      </c>
      <c r="C38" t="s">
        <v>78</v>
      </c>
      <c r="D38" t="s">
        <v>94</v>
      </c>
    </row>
    <row r="39" spans="1:4">
      <c r="B39" t="s">
        <v>698</v>
      </c>
      <c r="C39" t="s">
        <v>78</v>
      </c>
      <c r="D39" t="s">
        <v>94</v>
      </c>
    </row>
    <row r="40" spans="1:4">
      <c r="A40" t="s">
        <v>738</v>
      </c>
      <c r="B40" t="s">
        <v>737</v>
      </c>
      <c r="C40" t="s">
        <v>78</v>
      </c>
      <c r="D40" t="s">
        <v>109</v>
      </c>
    </row>
    <row r="41" spans="1:4">
      <c r="A41" t="s">
        <v>707</v>
      </c>
      <c r="B41" t="s">
        <v>706</v>
      </c>
      <c r="C41" t="s">
        <v>78</v>
      </c>
      <c r="D41" t="s">
        <v>109</v>
      </c>
    </row>
    <row r="42" spans="1:4">
      <c r="A42" t="s">
        <v>1361</v>
      </c>
      <c r="B42" t="s">
        <v>1360</v>
      </c>
      <c r="C42" t="s">
        <v>78</v>
      </c>
      <c r="D42" t="s">
        <v>1296</v>
      </c>
    </row>
    <row r="43" spans="1:4">
      <c r="A43" t="s">
        <v>1189</v>
      </c>
      <c r="B43" t="s">
        <v>1187</v>
      </c>
      <c r="C43" t="s">
        <v>78</v>
      </c>
      <c r="D43" t="s">
        <v>1188</v>
      </c>
    </row>
    <row r="44" spans="1:4">
      <c r="A44" t="s">
        <v>1192</v>
      </c>
      <c r="B44" t="s">
        <v>1191</v>
      </c>
      <c r="C44" t="s">
        <v>78</v>
      </c>
      <c r="D44" t="s">
        <v>1188</v>
      </c>
    </row>
    <row r="45" spans="1:4">
      <c r="A45" t="s">
        <v>314</v>
      </c>
      <c r="B45" t="s">
        <v>311</v>
      </c>
      <c r="C45" t="s">
        <v>78</v>
      </c>
      <c r="D45" t="s">
        <v>313</v>
      </c>
    </row>
    <row r="46" spans="1:4">
      <c r="B46" t="s">
        <v>326</v>
      </c>
      <c r="C46" t="s">
        <v>78</v>
      </c>
      <c r="D46" t="s">
        <v>328</v>
      </c>
    </row>
    <row r="47" spans="1:4">
      <c r="A47" t="s">
        <v>355</v>
      </c>
      <c r="B47" t="s">
        <v>354</v>
      </c>
      <c r="C47" t="s">
        <v>78</v>
      </c>
      <c r="D47" t="s">
        <v>191</v>
      </c>
    </row>
    <row r="48" spans="1:4">
      <c r="A48" t="s">
        <v>683</v>
      </c>
      <c r="B48" t="s">
        <v>681</v>
      </c>
      <c r="C48" t="s">
        <v>78</v>
      </c>
      <c r="D48" t="s">
        <v>682</v>
      </c>
    </row>
    <row r="49" spans="1:4">
      <c r="A49" t="s">
        <v>692</v>
      </c>
      <c r="B49" t="s">
        <v>689</v>
      </c>
      <c r="C49" t="s">
        <v>78</v>
      </c>
      <c r="D49" t="s">
        <v>691</v>
      </c>
    </row>
    <row r="50" spans="1:4">
      <c r="A50" t="s">
        <v>1442</v>
      </c>
      <c r="B50" t="s">
        <v>1441</v>
      </c>
      <c r="C50" t="s">
        <v>78</v>
      </c>
      <c r="D50" t="s">
        <v>218</v>
      </c>
    </row>
    <row r="51" spans="1:4">
      <c r="A51" t="s">
        <v>1226</v>
      </c>
      <c r="B51" t="s">
        <v>1224</v>
      </c>
      <c r="C51" t="s">
        <v>78</v>
      </c>
      <c r="D51" t="s">
        <v>1225</v>
      </c>
    </row>
    <row r="52" spans="1:4">
      <c r="A52" t="s">
        <v>1239</v>
      </c>
      <c r="B52" t="s">
        <v>1238</v>
      </c>
      <c r="C52" t="s">
        <v>78</v>
      </c>
      <c r="D52" t="s">
        <v>1225</v>
      </c>
    </row>
    <row r="53" spans="1:4">
      <c r="A53" t="s">
        <v>359</v>
      </c>
      <c r="B53" t="s">
        <v>358</v>
      </c>
      <c r="C53" t="s">
        <v>78</v>
      </c>
      <c r="D53" t="s">
        <v>94</v>
      </c>
    </row>
    <row r="54" spans="1:4">
      <c r="A54" t="s">
        <v>1158</v>
      </c>
      <c r="B54" t="s">
        <v>1157</v>
      </c>
      <c r="C54" t="s">
        <v>78</v>
      </c>
      <c r="D54" t="s">
        <v>191</v>
      </c>
    </row>
    <row r="55" spans="1:4">
      <c r="A55" t="s">
        <v>1149</v>
      </c>
      <c r="B55" t="s">
        <v>1148</v>
      </c>
      <c r="C55" t="s">
        <v>78</v>
      </c>
      <c r="D55" t="s">
        <v>191</v>
      </c>
    </row>
    <row r="56" spans="1:4">
      <c r="A56" t="s">
        <v>1300</v>
      </c>
      <c r="B56" t="s">
        <v>1299</v>
      </c>
      <c r="C56" t="s">
        <v>78</v>
      </c>
      <c r="D56" t="s">
        <v>1296</v>
      </c>
    </row>
    <row r="57" spans="1:4">
      <c r="A57" t="s">
        <v>1330</v>
      </c>
      <c r="B57" t="s">
        <v>1329</v>
      </c>
      <c r="C57" t="s">
        <v>78</v>
      </c>
      <c r="D57" t="s">
        <v>1296</v>
      </c>
    </row>
    <row r="58" spans="1:4">
      <c r="A58" t="s">
        <v>1327</v>
      </c>
      <c r="B58" t="s">
        <v>1326</v>
      </c>
      <c r="C58" t="s">
        <v>78</v>
      </c>
      <c r="D58" t="s">
        <v>1296</v>
      </c>
    </row>
    <row r="59" spans="1:4">
      <c r="A59" t="s">
        <v>1324</v>
      </c>
      <c r="B59" t="s">
        <v>1323</v>
      </c>
      <c r="C59" t="s">
        <v>78</v>
      </c>
      <c r="D59" t="s">
        <v>1296</v>
      </c>
    </row>
    <row r="60" spans="1:4">
      <c r="A60" t="s">
        <v>1339</v>
      </c>
      <c r="B60" t="s">
        <v>1338</v>
      </c>
      <c r="C60" t="s">
        <v>78</v>
      </c>
      <c r="D60" t="s">
        <v>1296</v>
      </c>
    </row>
    <row r="61" spans="1:4">
      <c r="A61" t="s">
        <v>1336</v>
      </c>
      <c r="B61" t="s">
        <v>1335</v>
      </c>
      <c r="C61" t="s">
        <v>78</v>
      </c>
      <c r="D61" t="s">
        <v>1296</v>
      </c>
    </row>
    <row r="62" spans="1:4">
      <c r="A62" t="s">
        <v>1297</v>
      </c>
      <c r="B62" t="s">
        <v>1451</v>
      </c>
      <c r="C62" t="s">
        <v>78</v>
      </c>
      <c r="D62" t="s">
        <v>1296</v>
      </c>
    </row>
    <row r="63" spans="1:4">
      <c r="A63" t="s">
        <v>1307</v>
      </c>
      <c r="B63" t="s">
        <v>1306</v>
      </c>
      <c r="C63" t="s">
        <v>78</v>
      </c>
      <c r="D63" t="s">
        <v>1296</v>
      </c>
    </row>
    <row r="64" spans="1:4">
      <c r="A64" t="s">
        <v>1304</v>
      </c>
      <c r="B64" t="s">
        <v>1303</v>
      </c>
      <c r="C64" t="s">
        <v>78</v>
      </c>
      <c r="D64" t="s">
        <v>1296</v>
      </c>
    </row>
    <row r="65" spans="1:4">
      <c r="B65" t="s">
        <v>1363</v>
      </c>
      <c r="C65" t="s">
        <v>78</v>
      </c>
      <c r="D65" t="s">
        <v>1296</v>
      </c>
    </row>
    <row r="66" spans="1:4">
      <c r="A66" t="s">
        <v>141</v>
      </c>
      <c r="B66" t="s">
        <v>137</v>
      </c>
      <c r="C66" t="s">
        <v>78</v>
      </c>
      <c r="D66" t="s">
        <v>139</v>
      </c>
    </row>
    <row r="67" spans="1:4">
      <c r="A67" t="s">
        <v>765</v>
      </c>
      <c r="B67" t="s">
        <v>764</v>
      </c>
      <c r="C67" t="s">
        <v>710</v>
      </c>
      <c r="D67" t="s">
        <v>525</v>
      </c>
    </row>
    <row r="68" spans="1:4">
      <c r="A68" t="s">
        <v>232</v>
      </c>
      <c r="B68" t="s">
        <v>229</v>
      </c>
      <c r="C68" t="s">
        <v>78</v>
      </c>
      <c r="D68" t="s">
        <v>231</v>
      </c>
    </row>
    <row r="69" spans="1:4">
      <c r="B69" t="s">
        <v>295</v>
      </c>
      <c r="C69" t="s">
        <v>78</v>
      </c>
      <c r="D69" t="s">
        <v>231</v>
      </c>
    </row>
    <row r="70" spans="1:4">
      <c r="A70" t="s">
        <v>495</v>
      </c>
      <c r="B70" t="s">
        <v>494</v>
      </c>
      <c r="C70" t="s">
        <v>78</v>
      </c>
      <c r="D70" t="s">
        <v>491</v>
      </c>
    </row>
    <row r="71" spans="1:4">
      <c r="A71" t="s">
        <v>741</v>
      </c>
      <c r="B71" t="s">
        <v>740</v>
      </c>
      <c r="C71" t="s">
        <v>710</v>
      </c>
      <c r="D71" t="s">
        <v>525</v>
      </c>
    </row>
    <row r="72" spans="1:4">
      <c r="A72" t="s">
        <v>1045</v>
      </c>
      <c r="B72" t="s">
        <v>1044</v>
      </c>
      <c r="C72" t="s">
        <v>78</v>
      </c>
      <c r="D72" t="s">
        <v>1031</v>
      </c>
    </row>
    <row r="73" spans="1:4">
      <c r="A73" t="s">
        <v>998</v>
      </c>
      <c r="B73" t="s">
        <v>997</v>
      </c>
      <c r="C73" t="s">
        <v>710</v>
      </c>
      <c r="D73" t="s">
        <v>993</v>
      </c>
    </row>
    <row r="74" spans="1:4">
      <c r="A74" t="s">
        <v>852</v>
      </c>
      <c r="B74" t="s">
        <v>851</v>
      </c>
      <c r="C74" t="s">
        <v>78</v>
      </c>
      <c r="D74" t="s">
        <v>451</v>
      </c>
    </row>
    <row r="75" spans="1:4">
      <c r="A75" t="s">
        <v>1100</v>
      </c>
      <c r="B75" t="s">
        <v>1099</v>
      </c>
      <c r="C75" t="s">
        <v>78</v>
      </c>
      <c r="D75" t="s">
        <v>935</v>
      </c>
    </row>
    <row r="76" spans="1:4">
      <c r="A76" t="s">
        <v>804</v>
      </c>
      <c r="B76" t="s">
        <v>803</v>
      </c>
      <c r="C76" t="s">
        <v>78</v>
      </c>
      <c r="D76" t="s">
        <v>406</v>
      </c>
    </row>
    <row r="77" spans="1:4">
      <c r="A77" t="s">
        <v>1390</v>
      </c>
      <c r="B77" t="s">
        <v>1389</v>
      </c>
      <c r="C77" t="s">
        <v>78</v>
      </c>
      <c r="D77" t="s">
        <v>94</v>
      </c>
    </row>
    <row r="78" spans="1:4">
      <c r="A78" t="s">
        <v>573</v>
      </c>
      <c r="B78" t="s">
        <v>572</v>
      </c>
      <c r="C78" t="s">
        <v>78</v>
      </c>
      <c r="D78" t="s">
        <v>133</v>
      </c>
    </row>
    <row r="79" spans="1:4">
      <c r="A79" t="s">
        <v>578</v>
      </c>
      <c r="B79" t="s">
        <v>577</v>
      </c>
      <c r="C79" t="s">
        <v>78</v>
      </c>
      <c r="D79" t="s">
        <v>133</v>
      </c>
    </row>
    <row r="80" spans="1:4">
      <c r="A80" t="s">
        <v>1014</v>
      </c>
      <c r="B80" t="s">
        <v>1013</v>
      </c>
      <c r="C80" t="s">
        <v>710</v>
      </c>
      <c r="D80" t="s">
        <v>993</v>
      </c>
    </row>
    <row r="81" spans="1:4">
      <c r="A81" t="s">
        <v>756</v>
      </c>
      <c r="B81" t="s">
        <v>755</v>
      </c>
      <c r="C81" t="s">
        <v>710</v>
      </c>
      <c r="D81" t="s">
        <v>139</v>
      </c>
    </row>
    <row r="82" spans="1:4">
      <c r="A82" t="s">
        <v>1090</v>
      </c>
      <c r="B82" t="s">
        <v>1089</v>
      </c>
      <c r="C82" t="s">
        <v>78</v>
      </c>
      <c r="D82" t="s">
        <v>930</v>
      </c>
    </row>
    <row r="83" spans="1:4">
      <c r="A83" t="s">
        <v>1109</v>
      </c>
      <c r="B83" t="s">
        <v>1108</v>
      </c>
      <c r="C83" t="s">
        <v>78</v>
      </c>
      <c r="D83" t="s">
        <v>935</v>
      </c>
    </row>
    <row r="84" spans="1:4">
      <c r="A84" t="s">
        <v>509</v>
      </c>
      <c r="B84" t="s">
        <v>506</v>
      </c>
      <c r="C84" t="s">
        <v>78</v>
      </c>
      <c r="D84" t="s">
        <v>508</v>
      </c>
    </row>
    <row r="85" spans="1:4">
      <c r="A85" t="s">
        <v>531</v>
      </c>
      <c r="B85" t="s">
        <v>528</v>
      </c>
      <c r="C85" t="s">
        <v>78</v>
      </c>
      <c r="D85" t="s">
        <v>530</v>
      </c>
    </row>
    <row r="86" spans="1:4">
      <c r="A86" t="s">
        <v>994</v>
      </c>
      <c r="B86" t="s">
        <v>991</v>
      </c>
      <c r="C86" t="s">
        <v>710</v>
      </c>
      <c r="D86" t="s">
        <v>993</v>
      </c>
    </row>
    <row r="87" spans="1:4">
      <c r="A87" t="s">
        <v>1235</v>
      </c>
      <c r="B87" t="s">
        <v>1232</v>
      </c>
      <c r="C87" t="s">
        <v>78</v>
      </c>
      <c r="D87" t="s">
        <v>1234</v>
      </c>
    </row>
    <row r="88" spans="1:4">
      <c r="A88" t="s">
        <v>535</v>
      </c>
      <c r="B88" t="s">
        <v>534</v>
      </c>
      <c r="C88" t="s">
        <v>78</v>
      </c>
      <c r="D88" t="s">
        <v>530</v>
      </c>
    </row>
    <row r="89" spans="1:4">
      <c r="A89" t="s">
        <v>513</v>
      </c>
      <c r="B89" t="s">
        <v>512</v>
      </c>
      <c r="C89" t="s">
        <v>78</v>
      </c>
      <c r="D89" t="s">
        <v>508</v>
      </c>
    </row>
    <row r="90" spans="1:4">
      <c r="A90" t="s">
        <v>906</v>
      </c>
      <c r="B90" t="s">
        <v>905</v>
      </c>
      <c r="C90" t="s">
        <v>78</v>
      </c>
      <c r="D90" t="s">
        <v>462</v>
      </c>
    </row>
    <row r="91" spans="1:4">
      <c r="A91" t="s">
        <v>1077</v>
      </c>
      <c r="B91" t="s">
        <v>1076</v>
      </c>
      <c r="C91" t="s">
        <v>78</v>
      </c>
      <c r="D91" t="s">
        <v>930</v>
      </c>
    </row>
    <row r="92" spans="1:4">
      <c r="A92" t="s">
        <v>630</v>
      </c>
      <c r="B92" t="s">
        <v>629</v>
      </c>
      <c r="C92" t="s">
        <v>78</v>
      </c>
      <c r="D92" t="s">
        <v>262</v>
      </c>
    </row>
    <row r="93" spans="1:4">
      <c r="A93" t="s">
        <v>399</v>
      </c>
      <c r="B93" t="s">
        <v>398</v>
      </c>
      <c r="C93" t="s">
        <v>78</v>
      </c>
      <c r="D93" t="s">
        <v>109</v>
      </c>
    </row>
    <row r="94" spans="1:4">
      <c r="A94" t="s">
        <v>1404</v>
      </c>
      <c r="B94" t="s">
        <v>1403</v>
      </c>
      <c r="C94" t="s">
        <v>78</v>
      </c>
      <c r="D94" t="s">
        <v>94</v>
      </c>
    </row>
    <row r="95" spans="1:4">
      <c r="A95" t="s">
        <v>1402</v>
      </c>
      <c r="B95" t="s">
        <v>1401</v>
      </c>
      <c r="C95" t="s">
        <v>78</v>
      </c>
      <c r="D95" t="s">
        <v>94</v>
      </c>
    </row>
    <row r="96" spans="1:4">
      <c r="A96" t="s">
        <v>364</v>
      </c>
      <c r="B96" t="s">
        <v>363</v>
      </c>
      <c r="C96" t="s">
        <v>78</v>
      </c>
      <c r="D96" t="s">
        <v>94</v>
      </c>
    </row>
    <row r="97" spans="1:4">
      <c r="A97" t="s">
        <v>1399</v>
      </c>
      <c r="B97" t="s">
        <v>1398</v>
      </c>
      <c r="C97" t="s">
        <v>78</v>
      </c>
      <c r="D97" t="s">
        <v>94</v>
      </c>
    </row>
    <row r="98" spans="1:4">
      <c r="A98" t="s">
        <v>368</v>
      </c>
      <c r="B98" t="s">
        <v>367</v>
      </c>
      <c r="C98" t="s">
        <v>78</v>
      </c>
      <c r="D98" t="s">
        <v>94</v>
      </c>
    </row>
    <row r="99" spans="1:4">
      <c r="A99" t="s">
        <v>387</v>
      </c>
      <c r="B99" t="s">
        <v>386</v>
      </c>
      <c r="C99" t="s">
        <v>78</v>
      </c>
      <c r="D99" t="s">
        <v>94</v>
      </c>
    </row>
    <row r="100" spans="1:4">
      <c r="A100" t="s">
        <v>96</v>
      </c>
      <c r="B100" t="s">
        <v>91</v>
      </c>
      <c r="C100" t="s">
        <v>78</v>
      </c>
      <c r="D100" t="s">
        <v>94</v>
      </c>
    </row>
    <row r="101" spans="1:4">
      <c r="A101" t="s">
        <v>751</v>
      </c>
      <c r="B101" t="s">
        <v>750</v>
      </c>
      <c r="C101" t="s">
        <v>78</v>
      </c>
      <c r="D101" t="s">
        <v>407</v>
      </c>
    </row>
    <row r="102" spans="1:4">
      <c r="A102" t="s">
        <v>826</v>
      </c>
      <c r="B102" t="s">
        <v>825</v>
      </c>
      <c r="C102" t="s">
        <v>78</v>
      </c>
      <c r="D102" t="s">
        <v>406</v>
      </c>
    </row>
    <row r="103" spans="1:4">
      <c r="B103" t="s">
        <v>828</v>
      </c>
      <c r="C103" t="s">
        <v>78</v>
      </c>
      <c r="D103" t="s">
        <v>774</v>
      </c>
    </row>
    <row r="104" spans="1:4">
      <c r="B104" t="s">
        <v>830</v>
      </c>
      <c r="C104" t="s">
        <v>78</v>
      </c>
      <c r="D104" t="s">
        <v>776</v>
      </c>
    </row>
    <row r="105" spans="1:4">
      <c r="B105" t="s">
        <v>831</v>
      </c>
      <c r="C105" t="s">
        <v>78</v>
      </c>
      <c r="D105" t="s">
        <v>642</v>
      </c>
    </row>
    <row r="106" spans="1:4">
      <c r="B106" t="s">
        <v>833</v>
      </c>
      <c r="C106" t="s">
        <v>78</v>
      </c>
      <c r="D106" t="s">
        <v>780</v>
      </c>
    </row>
    <row r="107" spans="1:4">
      <c r="B107" t="s">
        <v>835</v>
      </c>
      <c r="C107" t="s">
        <v>78</v>
      </c>
      <c r="D107" t="s">
        <v>782</v>
      </c>
    </row>
    <row r="108" spans="1:4">
      <c r="A108" t="s">
        <v>146</v>
      </c>
      <c r="B108" t="s">
        <v>145</v>
      </c>
      <c r="C108" t="s">
        <v>78</v>
      </c>
      <c r="D108" t="s">
        <v>139</v>
      </c>
    </row>
    <row r="109" spans="1:4">
      <c r="A109" t="s">
        <v>1260</v>
      </c>
      <c r="B109" t="s">
        <v>1259</v>
      </c>
      <c r="C109" t="s">
        <v>78</v>
      </c>
      <c r="D109" t="s">
        <v>406</v>
      </c>
    </row>
    <row r="110" spans="1:4">
      <c r="B110" t="s">
        <v>1272</v>
      </c>
      <c r="C110" t="s">
        <v>78</v>
      </c>
      <c r="D110" t="s">
        <v>1274</v>
      </c>
    </row>
    <row r="111" spans="1:4">
      <c r="A111" t="s">
        <v>1104</v>
      </c>
      <c r="B111" t="s">
        <v>1103</v>
      </c>
      <c r="C111" t="s">
        <v>78</v>
      </c>
      <c r="D111" t="s">
        <v>1031</v>
      </c>
    </row>
    <row r="112" spans="1:4">
      <c r="A112" t="s">
        <v>1048</v>
      </c>
      <c r="B112" t="s">
        <v>1047</v>
      </c>
      <c r="C112" t="s">
        <v>78</v>
      </c>
      <c r="D112" t="s">
        <v>1031</v>
      </c>
    </row>
    <row r="113" spans="1:4">
      <c r="A113" t="s">
        <v>1218</v>
      </c>
      <c r="B113" t="s">
        <v>1217</v>
      </c>
      <c r="C113" t="s">
        <v>710</v>
      </c>
      <c r="D113" t="s">
        <v>1211</v>
      </c>
    </row>
    <row r="114" spans="1:4">
      <c r="A114" t="s">
        <v>324</v>
      </c>
      <c r="B114" t="s">
        <v>322</v>
      </c>
      <c r="C114" t="s">
        <v>78</v>
      </c>
      <c r="D114" t="s">
        <v>323</v>
      </c>
    </row>
    <row r="115" spans="1:4">
      <c r="A115" t="s">
        <v>1382</v>
      </c>
      <c r="B115" t="s">
        <v>1380</v>
      </c>
      <c r="C115" t="s">
        <v>78</v>
      </c>
      <c r="D115" t="s">
        <v>1381</v>
      </c>
    </row>
    <row r="116" spans="1:4">
      <c r="A116" t="s">
        <v>1352</v>
      </c>
      <c r="B116" t="s">
        <v>1350</v>
      </c>
      <c r="C116" t="s">
        <v>78</v>
      </c>
      <c r="D116" t="s">
        <v>1351</v>
      </c>
    </row>
    <row r="117" spans="1:4">
      <c r="A117" t="s">
        <v>722</v>
      </c>
      <c r="B117" t="s">
        <v>720</v>
      </c>
      <c r="C117" t="s">
        <v>710</v>
      </c>
      <c r="D117" t="s">
        <v>721</v>
      </c>
    </row>
    <row r="118" spans="1:4">
      <c r="A118" t="s">
        <v>135</v>
      </c>
      <c r="B118" t="s">
        <v>130</v>
      </c>
      <c r="C118" t="s">
        <v>78</v>
      </c>
      <c r="D118" t="s">
        <v>133</v>
      </c>
    </row>
    <row r="119" spans="1:4">
      <c r="A119" t="s">
        <v>307</v>
      </c>
      <c r="B119" t="s">
        <v>305</v>
      </c>
      <c r="C119" t="s">
        <v>78</v>
      </c>
      <c r="D119" t="s">
        <v>306</v>
      </c>
    </row>
    <row r="120" spans="1:4">
      <c r="A120" t="s">
        <v>550</v>
      </c>
      <c r="B120" t="s">
        <v>549</v>
      </c>
      <c r="C120" t="s">
        <v>78</v>
      </c>
      <c r="D120" t="s">
        <v>539</v>
      </c>
    </row>
    <row r="121" spans="1:4">
      <c r="A121" t="s">
        <v>184</v>
      </c>
      <c r="B121" t="s">
        <v>182</v>
      </c>
      <c r="C121" t="s">
        <v>78</v>
      </c>
      <c r="D121" t="s">
        <v>183</v>
      </c>
    </row>
    <row r="122" spans="1:4">
      <c r="A122" t="s">
        <v>604</v>
      </c>
      <c r="B122" t="s">
        <v>603</v>
      </c>
      <c r="C122" t="s">
        <v>78</v>
      </c>
      <c r="D122" t="s">
        <v>139</v>
      </c>
    </row>
    <row r="123" spans="1:4">
      <c r="A123" t="s">
        <v>151</v>
      </c>
      <c r="B123" t="s">
        <v>150</v>
      </c>
      <c r="C123" t="s">
        <v>78</v>
      </c>
      <c r="D123" t="s">
        <v>139</v>
      </c>
    </row>
    <row r="124" spans="1:4">
      <c r="A124" t="s">
        <v>1061</v>
      </c>
      <c r="B124" t="s">
        <v>1060</v>
      </c>
      <c r="C124" t="s">
        <v>78</v>
      </c>
      <c r="D124" t="s">
        <v>930</v>
      </c>
    </row>
    <row r="125" spans="1:4">
      <c r="A125" t="s">
        <v>1115</v>
      </c>
      <c r="B125" t="s">
        <v>1114</v>
      </c>
      <c r="C125" t="s">
        <v>78</v>
      </c>
      <c r="D125" t="s">
        <v>930</v>
      </c>
    </row>
    <row r="126" spans="1:4">
      <c r="A126" t="s">
        <v>1039</v>
      </c>
      <c r="B126" t="s">
        <v>1038</v>
      </c>
      <c r="C126" t="s">
        <v>78</v>
      </c>
      <c r="D126" t="s">
        <v>935</v>
      </c>
    </row>
    <row r="127" spans="1:4">
      <c r="A127" t="s">
        <v>102</v>
      </c>
      <c r="B127" t="s">
        <v>100</v>
      </c>
      <c r="C127" t="s">
        <v>78</v>
      </c>
      <c r="D127" t="s">
        <v>94</v>
      </c>
    </row>
    <row r="128" spans="1:4">
      <c r="A128" t="s">
        <v>373</v>
      </c>
      <c r="B128" t="s">
        <v>371</v>
      </c>
      <c r="C128" t="s">
        <v>78</v>
      </c>
      <c r="D128" t="s">
        <v>94</v>
      </c>
    </row>
    <row r="129" spans="1:4">
      <c r="A129" t="s">
        <v>1152</v>
      </c>
      <c r="B129" t="s">
        <v>1151</v>
      </c>
      <c r="C129" t="s">
        <v>78</v>
      </c>
      <c r="D129" t="s">
        <v>191</v>
      </c>
    </row>
    <row r="130" spans="1:4">
      <c r="A130" t="s">
        <v>871</v>
      </c>
      <c r="B130" t="s">
        <v>870</v>
      </c>
      <c r="C130" t="s">
        <v>78</v>
      </c>
      <c r="D130" t="s">
        <v>124</v>
      </c>
    </row>
    <row r="131" spans="1:4">
      <c r="A131" t="s">
        <v>634</v>
      </c>
      <c r="B131" t="s">
        <v>633</v>
      </c>
      <c r="C131" t="s">
        <v>78</v>
      </c>
      <c r="D131" t="s">
        <v>177</v>
      </c>
    </row>
    <row r="132" spans="1:4">
      <c r="A132" t="s">
        <v>983</v>
      </c>
      <c r="B132" t="s">
        <v>981</v>
      </c>
      <c r="C132" t="s">
        <v>78</v>
      </c>
      <c r="D132" t="s">
        <v>406</v>
      </c>
    </row>
    <row r="133" spans="1:4">
      <c r="A133" t="s">
        <v>986</v>
      </c>
      <c r="B133" t="s">
        <v>985</v>
      </c>
      <c r="C133" t="s">
        <v>78</v>
      </c>
      <c r="D133" t="s">
        <v>406</v>
      </c>
    </row>
    <row r="134" spans="1:4">
      <c r="A134" t="s">
        <v>391</v>
      </c>
      <c r="B134" t="s">
        <v>390</v>
      </c>
      <c r="C134" t="s">
        <v>78</v>
      </c>
      <c r="D134" t="s">
        <v>94</v>
      </c>
    </row>
    <row r="135" spans="1:4">
      <c r="A135" t="s">
        <v>663</v>
      </c>
      <c r="B135" t="s">
        <v>662</v>
      </c>
      <c r="C135" t="s">
        <v>78</v>
      </c>
      <c r="D135" t="s">
        <v>406</v>
      </c>
    </row>
    <row r="136" spans="1:4">
      <c r="A136" t="s">
        <v>659</v>
      </c>
      <c r="B136" t="s">
        <v>658</v>
      </c>
      <c r="C136" t="s">
        <v>78</v>
      </c>
      <c r="D136" t="s">
        <v>406</v>
      </c>
    </row>
    <row r="137" spans="1:4">
      <c r="A137" t="s">
        <v>1117</v>
      </c>
      <c r="B137" t="s">
        <v>1116</v>
      </c>
      <c r="C137" t="s">
        <v>78</v>
      </c>
      <c r="D137" t="s">
        <v>930</v>
      </c>
    </row>
    <row r="138" spans="1:4">
      <c r="A138" t="s">
        <v>126</v>
      </c>
      <c r="B138" t="s">
        <v>123</v>
      </c>
      <c r="C138" t="s">
        <v>78</v>
      </c>
      <c r="D138" t="s">
        <v>124</v>
      </c>
    </row>
    <row r="139" spans="1:4">
      <c r="A139" t="s">
        <v>172</v>
      </c>
      <c r="B139" t="s">
        <v>169</v>
      </c>
      <c r="C139" t="s">
        <v>78</v>
      </c>
      <c r="D139" t="s">
        <v>171</v>
      </c>
    </row>
    <row r="140" spans="1:4">
      <c r="A140" t="s">
        <v>178</v>
      </c>
      <c r="B140" t="s">
        <v>176</v>
      </c>
      <c r="C140" t="s">
        <v>78</v>
      </c>
      <c r="D140" t="s">
        <v>177</v>
      </c>
    </row>
    <row r="141" spans="1:4">
      <c r="A141" t="s">
        <v>419</v>
      </c>
      <c r="B141" t="s">
        <v>418</v>
      </c>
      <c r="C141" t="s">
        <v>78</v>
      </c>
      <c r="D141" t="s">
        <v>406</v>
      </c>
    </row>
    <row r="142" spans="1:4">
      <c r="A142" t="s">
        <v>729</v>
      </c>
      <c r="B142" t="s">
        <v>728</v>
      </c>
      <c r="C142" t="s">
        <v>710</v>
      </c>
      <c r="D142" t="s">
        <v>525</v>
      </c>
    </row>
    <row r="143" spans="1:4">
      <c r="A143" t="s">
        <v>1310</v>
      </c>
      <c r="B143" t="s">
        <v>1309</v>
      </c>
      <c r="C143" t="s">
        <v>78</v>
      </c>
      <c r="D143" t="s">
        <v>1296</v>
      </c>
    </row>
    <row r="144" spans="1:4">
      <c r="B144" t="s">
        <v>1313</v>
      </c>
      <c r="C144" t="s">
        <v>78</v>
      </c>
      <c r="D144" t="s">
        <v>1296</v>
      </c>
    </row>
    <row r="145" spans="1:4">
      <c r="A145" t="s">
        <v>808</v>
      </c>
      <c r="B145" t="s">
        <v>807</v>
      </c>
      <c r="C145" t="s">
        <v>78</v>
      </c>
      <c r="D145" t="s">
        <v>642</v>
      </c>
    </row>
    <row r="146" spans="1:4">
      <c r="B146" t="s">
        <v>812</v>
      </c>
      <c r="C146" t="s">
        <v>78</v>
      </c>
      <c r="D146" t="s">
        <v>177</v>
      </c>
    </row>
    <row r="147" spans="1:4">
      <c r="A147" t="s">
        <v>1155</v>
      </c>
      <c r="B147" t="s">
        <v>1154</v>
      </c>
      <c r="C147" t="s">
        <v>78</v>
      </c>
      <c r="D147" t="s">
        <v>191</v>
      </c>
    </row>
    <row r="148" spans="1:4">
      <c r="A148" t="s">
        <v>977</v>
      </c>
      <c r="B148" t="s">
        <v>976</v>
      </c>
      <c r="C148" t="s">
        <v>78</v>
      </c>
      <c r="D148" t="s">
        <v>439</v>
      </c>
    </row>
    <row r="149" spans="1:4">
      <c r="A149" t="s">
        <v>1042</v>
      </c>
      <c r="B149" t="s">
        <v>1041</v>
      </c>
      <c r="C149" t="s">
        <v>78</v>
      </c>
      <c r="D149" t="s">
        <v>1031</v>
      </c>
    </row>
    <row r="150" spans="1:4">
      <c r="A150" t="s">
        <v>187</v>
      </c>
      <c r="B150" t="s">
        <v>186</v>
      </c>
      <c r="C150" t="s">
        <v>78</v>
      </c>
      <c r="D150" t="s">
        <v>183</v>
      </c>
    </row>
    <row r="151" spans="1:4">
      <c r="A151" t="s">
        <v>1051</v>
      </c>
      <c r="B151" t="s">
        <v>1050</v>
      </c>
      <c r="C151" t="s">
        <v>78</v>
      </c>
      <c r="D151" t="s">
        <v>935</v>
      </c>
    </row>
    <row r="152" spans="1:4">
      <c r="A152" t="s">
        <v>1230</v>
      </c>
      <c r="B152" t="s">
        <v>1228</v>
      </c>
      <c r="C152" t="s">
        <v>78</v>
      </c>
      <c r="D152" t="s">
        <v>462</v>
      </c>
    </row>
    <row r="153" spans="1:4">
      <c r="A153" t="s">
        <v>403</v>
      </c>
      <c r="B153" t="s">
        <v>402</v>
      </c>
      <c r="C153" t="s">
        <v>78</v>
      </c>
      <c r="D153" t="s">
        <v>218</v>
      </c>
    </row>
    <row r="154" spans="1:4">
      <c r="B154" t="s">
        <v>433</v>
      </c>
      <c r="C154" t="s">
        <v>78</v>
      </c>
      <c r="D154" t="s">
        <v>218</v>
      </c>
    </row>
    <row r="155" spans="1:4">
      <c r="A155" t="s">
        <v>735</v>
      </c>
      <c r="B155" t="s">
        <v>734</v>
      </c>
      <c r="C155" t="s">
        <v>78</v>
      </c>
      <c r="D155" t="s">
        <v>109</v>
      </c>
    </row>
    <row r="156" spans="1:4">
      <c r="A156" t="s">
        <v>526</v>
      </c>
      <c r="B156" t="s">
        <v>523</v>
      </c>
      <c r="C156" t="s">
        <v>78</v>
      </c>
      <c r="D156" t="s">
        <v>525</v>
      </c>
    </row>
    <row r="157" spans="1:4">
      <c r="A157" t="s">
        <v>444</v>
      </c>
      <c r="B157" t="s">
        <v>443</v>
      </c>
      <c r="C157" t="s">
        <v>78</v>
      </c>
      <c r="D157" t="s">
        <v>439</v>
      </c>
    </row>
    <row r="158" spans="1:4">
      <c r="A158" t="s">
        <v>463</v>
      </c>
      <c r="B158" t="s">
        <v>460</v>
      </c>
      <c r="C158" t="s">
        <v>78</v>
      </c>
      <c r="D158" t="s">
        <v>462</v>
      </c>
    </row>
    <row r="159" spans="1:4">
      <c r="A159" t="s">
        <v>902</v>
      </c>
      <c r="B159" t="s">
        <v>900</v>
      </c>
      <c r="C159" t="s">
        <v>78</v>
      </c>
      <c r="D159" t="s">
        <v>462</v>
      </c>
    </row>
    <row r="160" spans="1:4">
      <c r="A160" t="s">
        <v>1222</v>
      </c>
      <c r="B160" t="s">
        <v>1220</v>
      </c>
      <c r="C160" t="s">
        <v>78</v>
      </c>
      <c r="D160" t="s">
        <v>462</v>
      </c>
    </row>
    <row r="161" spans="1:4">
      <c r="A161" t="s">
        <v>1185</v>
      </c>
      <c r="B161" t="s">
        <v>1184</v>
      </c>
      <c r="C161" t="s">
        <v>78</v>
      </c>
      <c r="D161" t="s">
        <v>462</v>
      </c>
    </row>
    <row r="162" spans="1:4">
      <c r="A162" t="s">
        <v>1011</v>
      </c>
      <c r="B162" t="s">
        <v>1010</v>
      </c>
      <c r="C162" t="s">
        <v>710</v>
      </c>
      <c r="D162" t="s">
        <v>993</v>
      </c>
    </row>
    <row r="163" spans="1:4">
      <c r="A163" t="s">
        <v>1008</v>
      </c>
      <c r="B163" t="s">
        <v>1007</v>
      </c>
      <c r="C163" t="s">
        <v>710</v>
      </c>
      <c r="D163" t="s">
        <v>993</v>
      </c>
    </row>
    <row r="164" spans="1:4">
      <c r="A164" t="s">
        <v>290</v>
      </c>
      <c r="B164" t="s">
        <v>287</v>
      </c>
      <c r="C164" t="s">
        <v>78</v>
      </c>
      <c r="D164" t="s">
        <v>289</v>
      </c>
    </row>
    <row r="165" spans="1:4">
      <c r="B165" t="s">
        <v>888</v>
      </c>
      <c r="C165" t="s">
        <v>78</v>
      </c>
      <c r="D165" t="s">
        <v>890</v>
      </c>
    </row>
    <row r="166" spans="1:4">
      <c r="B166" t="s">
        <v>974</v>
      </c>
      <c r="C166" t="s">
        <v>78</v>
      </c>
      <c r="D166" t="s">
        <v>975</v>
      </c>
    </row>
    <row r="167" spans="1:4">
      <c r="A167" t="s">
        <v>334</v>
      </c>
      <c r="B167" t="s">
        <v>331</v>
      </c>
      <c r="C167" t="s">
        <v>78</v>
      </c>
      <c r="D167" t="s">
        <v>333</v>
      </c>
    </row>
    <row r="168" spans="1:4">
      <c r="B168" t="s">
        <v>344</v>
      </c>
      <c r="C168" t="s">
        <v>78</v>
      </c>
      <c r="D168" t="s">
        <v>346</v>
      </c>
    </row>
    <row r="169" spans="1:4">
      <c r="A169" t="s">
        <v>336</v>
      </c>
      <c r="B169" t="s">
        <v>335</v>
      </c>
      <c r="C169" t="s">
        <v>78</v>
      </c>
      <c r="D169" t="s">
        <v>333</v>
      </c>
    </row>
    <row r="170" spans="1:4">
      <c r="B170" t="s">
        <v>347</v>
      </c>
      <c r="C170" t="s">
        <v>78</v>
      </c>
      <c r="D170" t="s">
        <v>346</v>
      </c>
    </row>
    <row r="171" spans="1:4">
      <c r="A171" t="s">
        <v>352</v>
      </c>
      <c r="B171" t="s">
        <v>349</v>
      </c>
      <c r="C171" t="s">
        <v>78</v>
      </c>
      <c r="D171" t="s">
        <v>351</v>
      </c>
    </row>
    <row r="172" spans="1:4">
      <c r="A172" t="s">
        <v>226</v>
      </c>
      <c r="B172" t="s">
        <v>225</v>
      </c>
      <c r="C172" t="s">
        <v>78</v>
      </c>
      <c r="D172" t="s">
        <v>218</v>
      </c>
    </row>
    <row r="173" spans="1:4">
      <c r="B173" t="s">
        <v>427</v>
      </c>
      <c r="C173" t="s">
        <v>78</v>
      </c>
      <c r="D173" t="s">
        <v>218</v>
      </c>
    </row>
    <row r="174" spans="1:4">
      <c r="A174" t="s">
        <v>745</v>
      </c>
      <c r="B174" t="s">
        <v>744</v>
      </c>
      <c r="C174" t="s">
        <v>710</v>
      </c>
      <c r="D174" t="s">
        <v>525</v>
      </c>
    </row>
    <row r="175" spans="1:4">
      <c r="A175" t="s">
        <v>725</v>
      </c>
      <c r="B175" t="s">
        <v>724</v>
      </c>
      <c r="C175" t="s">
        <v>78</v>
      </c>
      <c r="D175" t="s">
        <v>94</v>
      </c>
    </row>
    <row r="176" spans="1:4">
      <c r="A176" t="s">
        <v>718</v>
      </c>
      <c r="B176" t="s">
        <v>716</v>
      </c>
      <c r="C176" t="s">
        <v>710</v>
      </c>
      <c r="D176" t="s">
        <v>717</v>
      </c>
    </row>
    <row r="177" spans="1:4">
      <c r="A177" t="s">
        <v>818</v>
      </c>
      <c r="B177" t="s">
        <v>817</v>
      </c>
      <c r="C177" t="s">
        <v>710</v>
      </c>
      <c r="D177" t="s">
        <v>191</v>
      </c>
    </row>
    <row r="178" spans="1:4">
      <c r="A178" t="s">
        <v>1358</v>
      </c>
      <c r="B178" t="s">
        <v>1357</v>
      </c>
      <c r="C178" t="s">
        <v>78</v>
      </c>
      <c r="D178" t="s">
        <v>1351</v>
      </c>
    </row>
    <row r="179" spans="1:4">
      <c r="A179" t="s">
        <v>545</v>
      </c>
      <c r="B179" t="s">
        <v>544</v>
      </c>
      <c r="C179" t="s">
        <v>78</v>
      </c>
      <c r="D179" t="s">
        <v>539</v>
      </c>
    </row>
    <row r="180" spans="1:4">
      <c r="A180" t="s">
        <v>301</v>
      </c>
      <c r="B180" t="s">
        <v>300</v>
      </c>
      <c r="C180" t="s">
        <v>78</v>
      </c>
      <c r="D180" t="s">
        <v>231</v>
      </c>
    </row>
    <row r="181" spans="1:4">
      <c r="B181" t="s">
        <v>469</v>
      </c>
      <c r="C181" t="s">
        <v>78</v>
      </c>
      <c r="D181" t="s">
        <v>231</v>
      </c>
    </row>
    <row r="182" spans="1:4">
      <c r="B182" t="s">
        <v>480</v>
      </c>
      <c r="C182" t="s">
        <v>78</v>
      </c>
      <c r="D182" t="s">
        <v>243</v>
      </c>
    </row>
    <row r="183" spans="1:4">
      <c r="B183" t="s">
        <v>485</v>
      </c>
      <c r="C183" t="s">
        <v>78</v>
      </c>
      <c r="D183" t="s">
        <v>243</v>
      </c>
    </row>
    <row r="184" spans="1:4">
      <c r="B184" t="s">
        <v>497</v>
      </c>
      <c r="C184" t="s">
        <v>78</v>
      </c>
      <c r="D184" t="s">
        <v>491</v>
      </c>
    </row>
    <row r="185" spans="1:4">
      <c r="B185" t="s">
        <v>500</v>
      </c>
      <c r="C185" t="s">
        <v>78</v>
      </c>
      <c r="D185" t="s">
        <v>502</v>
      </c>
    </row>
    <row r="186" spans="1:4">
      <c r="A186" t="s">
        <v>763</v>
      </c>
      <c r="B186" t="s">
        <v>761</v>
      </c>
      <c r="C186" t="s">
        <v>710</v>
      </c>
      <c r="D186" t="s">
        <v>762</v>
      </c>
    </row>
    <row r="187" spans="1:4">
      <c r="A187" t="s">
        <v>244</v>
      </c>
      <c r="B187" t="s">
        <v>241</v>
      </c>
      <c r="C187" t="s">
        <v>78</v>
      </c>
      <c r="D187" t="s">
        <v>243</v>
      </c>
    </row>
    <row r="188" spans="1:4">
      <c r="B188" t="s">
        <v>303</v>
      </c>
      <c r="C188" t="s">
        <v>78</v>
      </c>
      <c r="D188" t="s">
        <v>231</v>
      </c>
    </row>
    <row r="189" spans="1:4">
      <c r="B189" t="s">
        <v>471</v>
      </c>
      <c r="C189" t="s">
        <v>78</v>
      </c>
      <c r="D189" t="s">
        <v>231</v>
      </c>
    </row>
    <row r="190" spans="1:4">
      <c r="B190" t="s">
        <v>487</v>
      </c>
      <c r="C190" t="s">
        <v>78</v>
      </c>
      <c r="D190" t="s">
        <v>243</v>
      </c>
    </row>
    <row r="191" spans="1:4">
      <c r="B191" t="s">
        <v>498</v>
      </c>
      <c r="C191" t="s">
        <v>78</v>
      </c>
      <c r="D191" t="s">
        <v>491</v>
      </c>
    </row>
    <row r="192" spans="1:4">
      <c r="B192" t="s">
        <v>504</v>
      </c>
      <c r="C192" t="s">
        <v>78</v>
      </c>
      <c r="D192" t="s">
        <v>502</v>
      </c>
    </row>
    <row r="193" spans="1:4">
      <c r="A193" t="s">
        <v>1348</v>
      </c>
      <c r="B193" t="s">
        <v>1347</v>
      </c>
      <c r="C193" t="s">
        <v>78</v>
      </c>
      <c r="D193" t="s">
        <v>1296</v>
      </c>
    </row>
    <row r="194" spans="1:4">
      <c r="A194" t="s">
        <v>208</v>
      </c>
      <c r="B194" t="s">
        <v>207</v>
      </c>
      <c r="C194" t="s">
        <v>78</v>
      </c>
      <c r="D194" t="s">
        <v>94</v>
      </c>
    </row>
    <row r="195" spans="1:4">
      <c r="A195" t="s">
        <v>201</v>
      </c>
      <c r="B195" t="s">
        <v>198</v>
      </c>
      <c r="C195" t="s">
        <v>78</v>
      </c>
      <c r="D195" t="s">
        <v>200</v>
      </c>
    </row>
    <row r="196" spans="1:4">
      <c r="B196" t="s">
        <v>752</v>
      </c>
      <c r="C196" t="s">
        <v>78</v>
      </c>
      <c r="D196" t="s">
        <v>753</v>
      </c>
    </row>
    <row r="197" spans="1:4">
      <c r="A197" t="s">
        <v>560</v>
      </c>
      <c r="B197" t="s">
        <v>559</v>
      </c>
      <c r="C197" t="s">
        <v>78</v>
      </c>
      <c r="D197" t="s">
        <v>124</v>
      </c>
    </row>
    <row r="198" spans="1:4">
      <c r="A198" t="s">
        <v>1071</v>
      </c>
      <c r="B198" t="s">
        <v>1070</v>
      </c>
      <c r="C198" t="s">
        <v>78</v>
      </c>
      <c r="D198" t="s">
        <v>935</v>
      </c>
    </row>
    <row r="199" spans="1:4">
      <c r="A199" t="s">
        <v>1445</v>
      </c>
      <c r="B199" t="s">
        <v>1444</v>
      </c>
      <c r="C199" t="s">
        <v>78</v>
      </c>
      <c r="D199" t="s">
        <v>218</v>
      </c>
    </row>
    <row r="200" spans="1:4">
      <c r="A200" t="s">
        <v>1164</v>
      </c>
      <c r="B200" t="s">
        <v>1163</v>
      </c>
      <c r="C200" t="s">
        <v>710</v>
      </c>
      <c r="D200" t="s">
        <v>993</v>
      </c>
    </row>
    <row r="201" spans="1:4">
      <c r="A201" t="s">
        <v>477</v>
      </c>
      <c r="B201" t="s">
        <v>476</v>
      </c>
      <c r="C201" t="s">
        <v>78</v>
      </c>
      <c r="D201" t="s">
        <v>243</v>
      </c>
    </row>
    <row r="202" spans="1:4">
      <c r="B202" t="s">
        <v>483</v>
      </c>
      <c r="C202" t="s">
        <v>78</v>
      </c>
      <c r="D202" t="s">
        <v>243</v>
      </c>
    </row>
    <row r="203" spans="1:4">
      <c r="A203" t="s">
        <v>474</v>
      </c>
      <c r="B203" t="s">
        <v>473</v>
      </c>
      <c r="C203" t="s">
        <v>78</v>
      </c>
      <c r="D203" t="s">
        <v>243</v>
      </c>
    </row>
    <row r="204" spans="1:4">
      <c r="B204" t="s">
        <v>481</v>
      </c>
      <c r="C204" t="s">
        <v>78</v>
      </c>
      <c r="D204" t="s">
        <v>243</v>
      </c>
    </row>
    <row r="205" spans="1:4">
      <c r="A205" t="s">
        <v>845</v>
      </c>
      <c r="B205" t="s">
        <v>844</v>
      </c>
      <c r="C205" t="s">
        <v>78</v>
      </c>
      <c r="D205" t="s">
        <v>451</v>
      </c>
    </row>
    <row r="206" spans="1:4">
      <c r="B206" t="s">
        <v>878</v>
      </c>
      <c r="C206" t="s">
        <v>78</v>
      </c>
      <c r="D206" t="s">
        <v>711</v>
      </c>
    </row>
    <row r="207" spans="1:4">
      <c r="A207" t="s">
        <v>452</v>
      </c>
      <c r="B207" t="s">
        <v>1449</v>
      </c>
      <c r="C207" t="s">
        <v>78</v>
      </c>
      <c r="D207" t="s">
        <v>451</v>
      </c>
    </row>
    <row r="208" spans="1:4">
      <c r="A208" t="s">
        <v>848</v>
      </c>
      <c r="B208" t="s">
        <v>847</v>
      </c>
      <c r="C208" t="s">
        <v>78</v>
      </c>
      <c r="D208" t="s">
        <v>451</v>
      </c>
    </row>
    <row r="209" spans="1:4">
      <c r="B209" t="s">
        <v>880</v>
      </c>
      <c r="C209" t="s">
        <v>78</v>
      </c>
      <c r="D209" t="s">
        <v>711</v>
      </c>
    </row>
    <row r="210" spans="1:4">
      <c r="A210" t="s">
        <v>850</v>
      </c>
      <c r="B210" t="s">
        <v>849</v>
      </c>
      <c r="C210" t="s">
        <v>78</v>
      </c>
      <c r="D210" t="s">
        <v>451</v>
      </c>
    </row>
    <row r="211" spans="1:4">
      <c r="A211" t="s">
        <v>883</v>
      </c>
      <c r="B211" t="s">
        <v>882</v>
      </c>
      <c r="C211" t="s">
        <v>78</v>
      </c>
      <c r="D211" t="s">
        <v>451</v>
      </c>
    </row>
    <row r="212" spans="1:4">
      <c r="A212" t="s">
        <v>1266</v>
      </c>
      <c r="B212" t="s">
        <v>1264</v>
      </c>
      <c r="C212" t="s">
        <v>78</v>
      </c>
      <c r="D212" t="s">
        <v>1265</v>
      </c>
    </row>
    <row r="213" spans="1:4">
      <c r="A213" t="s">
        <v>1270</v>
      </c>
      <c r="B213" t="s">
        <v>1269</v>
      </c>
      <c r="C213" t="s">
        <v>78</v>
      </c>
      <c r="D213" t="s">
        <v>1265</v>
      </c>
    </row>
    <row r="214" spans="1:4">
      <c r="A214" t="s">
        <v>1321</v>
      </c>
      <c r="B214" t="s">
        <v>1320</v>
      </c>
      <c r="C214" t="s">
        <v>78</v>
      </c>
      <c r="D214" t="s">
        <v>1296</v>
      </c>
    </row>
    <row r="215" spans="1:4">
      <c r="A215" t="s">
        <v>1257</v>
      </c>
      <c r="B215" t="s">
        <v>1256</v>
      </c>
      <c r="C215" t="s">
        <v>78</v>
      </c>
      <c r="D215" t="s">
        <v>170</v>
      </c>
    </row>
    <row r="216" spans="1:4">
      <c r="A216" t="s">
        <v>254</v>
      </c>
      <c r="B216" t="s">
        <v>252</v>
      </c>
      <c r="C216" t="s">
        <v>78</v>
      </c>
      <c r="D216" t="s">
        <v>253</v>
      </c>
    </row>
    <row r="217" spans="1:4">
      <c r="A217" t="s">
        <v>954</v>
      </c>
      <c r="B217" t="s">
        <v>952</v>
      </c>
      <c r="C217" t="s">
        <v>78</v>
      </c>
      <c r="D217" t="s">
        <v>953</v>
      </c>
    </row>
    <row r="218" spans="1:4">
      <c r="A218" t="s">
        <v>960</v>
      </c>
      <c r="B218" t="s">
        <v>958</v>
      </c>
      <c r="C218" t="s">
        <v>78</v>
      </c>
      <c r="D218" t="s">
        <v>959</v>
      </c>
    </row>
    <row r="219" spans="1:4">
      <c r="A219" t="s">
        <v>874</v>
      </c>
      <c r="B219" t="s">
        <v>873</v>
      </c>
      <c r="C219" t="s">
        <v>78</v>
      </c>
      <c r="D219" t="s">
        <v>139</v>
      </c>
    </row>
    <row r="220" spans="1:4">
      <c r="A220" t="s">
        <v>557</v>
      </c>
      <c r="B220" t="s">
        <v>556</v>
      </c>
      <c r="C220" t="s">
        <v>78</v>
      </c>
      <c r="D220" t="s">
        <v>124</v>
      </c>
    </row>
    <row r="221" spans="1:4">
      <c r="A221" t="s">
        <v>553</v>
      </c>
      <c r="B221" t="s">
        <v>551</v>
      </c>
      <c r="C221" t="s">
        <v>78</v>
      </c>
      <c r="D221" t="s">
        <v>124</v>
      </c>
    </row>
    <row r="222" spans="1:4">
      <c r="A222" t="s">
        <v>1205</v>
      </c>
      <c r="B222" t="s">
        <v>1202</v>
      </c>
      <c r="C222" t="s">
        <v>78</v>
      </c>
      <c r="D222" t="s">
        <v>1204</v>
      </c>
    </row>
    <row r="223" spans="1:4">
      <c r="A223" t="s">
        <v>1174</v>
      </c>
      <c r="B223" t="s">
        <v>1172</v>
      </c>
      <c r="C223" t="s">
        <v>78</v>
      </c>
      <c r="D223" t="s">
        <v>1173</v>
      </c>
    </row>
    <row r="224" spans="1:4">
      <c r="A224" t="s">
        <v>1170</v>
      </c>
      <c r="B224" t="s">
        <v>1167</v>
      </c>
      <c r="C224" t="s">
        <v>78</v>
      </c>
      <c r="D224" t="s">
        <v>1169</v>
      </c>
    </row>
    <row r="225" spans="1:4">
      <c r="A225" t="s">
        <v>440</v>
      </c>
      <c r="B225" t="s">
        <v>437</v>
      </c>
      <c r="C225" t="s">
        <v>78</v>
      </c>
      <c r="D225" t="s">
        <v>439</v>
      </c>
    </row>
    <row r="226" spans="1:4">
      <c r="A226" t="s">
        <v>431</v>
      </c>
      <c r="B226" t="s">
        <v>430</v>
      </c>
      <c r="C226" t="s">
        <v>78</v>
      </c>
      <c r="D226" t="s">
        <v>218</v>
      </c>
    </row>
    <row r="227" spans="1:4">
      <c r="B227" t="s">
        <v>435</v>
      </c>
      <c r="C227" t="s">
        <v>78</v>
      </c>
      <c r="D227" t="s">
        <v>218</v>
      </c>
    </row>
    <row r="228" spans="1:4">
      <c r="A228" t="s">
        <v>468</v>
      </c>
      <c r="B228" t="s">
        <v>466</v>
      </c>
      <c r="C228" t="s">
        <v>78</v>
      </c>
      <c r="D228" t="s">
        <v>218</v>
      </c>
    </row>
    <row r="229" spans="1:4">
      <c r="A229" t="s">
        <v>1251</v>
      </c>
      <c r="B229" t="s">
        <v>1249</v>
      </c>
      <c r="C229" t="s">
        <v>78</v>
      </c>
      <c r="D229" t="s">
        <v>462</v>
      </c>
    </row>
    <row r="230" spans="1:4">
      <c r="A230" t="s">
        <v>1054</v>
      </c>
      <c r="B230" t="s">
        <v>1053</v>
      </c>
      <c r="C230" t="s">
        <v>78</v>
      </c>
      <c r="D230" t="s">
        <v>935</v>
      </c>
    </row>
    <row r="231" spans="1:4">
      <c r="A231" t="s">
        <v>1137</v>
      </c>
      <c r="B231" t="s">
        <v>1135</v>
      </c>
      <c r="C231" t="s">
        <v>78</v>
      </c>
      <c r="D231" t="s">
        <v>935</v>
      </c>
    </row>
    <row r="232" spans="1:4">
      <c r="A232" t="s">
        <v>1128</v>
      </c>
      <c r="B232" t="s">
        <v>1127</v>
      </c>
      <c r="C232" t="s">
        <v>78</v>
      </c>
      <c r="D232" t="s">
        <v>930</v>
      </c>
    </row>
    <row r="233" spans="1:4">
      <c r="A233" t="s">
        <v>1254</v>
      </c>
      <c r="B233" t="s">
        <v>1253</v>
      </c>
      <c r="C233" t="s">
        <v>78</v>
      </c>
      <c r="D233" t="s">
        <v>935</v>
      </c>
    </row>
    <row r="234" spans="1:4">
      <c r="A234" t="s">
        <v>1032</v>
      </c>
      <c r="B234" t="s">
        <v>1029</v>
      </c>
      <c r="C234" t="s">
        <v>78</v>
      </c>
      <c r="D234" t="s">
        <v>1031</v>
      </c>
    </row>
    <row r="235" spans="1:4">
      <c r="A235" t="s">
        <v>213</v>
      </c>
      <c r="B235" t="s">
        <v>211</v>
      </c>
      <c r="C235" t="s">
        <v>78</v>
      </c>
      <c r="D235" t="s">
        <v>212</v>
      </c>
    </row>
    <row r="236" spans="1:4">
      <c r="A236" t="s">
        <v>1145</v>
      </c>
      <c r="B236" t="s">
        <v>1144</v>
      </c>
      <c r="C236" t="s">
        <v>78</v>
      </c>
      <c r="D236" t="s">
        <v>139</v>
      </c>
    </row>
    <row r="237" spans="1:4">
      <c r="A237" t="s">
        <v>563</v>
      </c>
      <c r="B237" t="s">
        <v>562</v>
      </c>
      <c r="C237" t="s">
        <v>78</v>
      </c>
      <c r="D237" t="s">
        <v>124</v>
      </c>
    </row>
    <row r="238" spans="1:4">
      <c r="A238" t="s">
        <v>607</v>
      </c>
      <c r="B238" t="s">
        <v>606</v>
      </c>
      <c r="C238" t="s">
        <v>78</v>
      </c>
      <c r="D238" t="s">
        <v>139</v>
      </c>
    </row>
    <row r="239" spans="1:4">
      <c r="A239" t="s">
        <v>611</v>
      </c>
      <c r="B239" t="s">
        <v>610</v>
      </c>
      <c r="C239" t="s">
        <v>78</v>
      </c>
      <c r="D239" t="s">
        <v>139</v>
      </c>
    </row>
    <row r="240" spans="1:4">
      <c r="A240" t="s">
        <v>1142</v>
      </c>
      <c r="B240" t="s">
        <v>1141</v>
      </c>
      <c r="C240" t="s">
        <v>78</v>
      </c>
      <c r="D240" t="s">
        <v>139</v>
      </c>
    </row>
    <row r="241" spans="1:4">
      <c r="A241" t="s">
        <v>1395</v>
      </c>
      <c r="B241" t="s">
        <v>1394</v>
      </c>
      <c r="C241" t="s">
        <v>78</v>
      </c>
      <c r="D241" t="s">
        <v>539</v>
      </c>
    </row>
    <row r="242" spans="1:4">
      <c r="A242" t="s">
        <v>219</v>
      </c>
      <c r="B242" t="s">
        <v>216</v>
      </c>
      <c r="C242" t="s">
        <v>78</v>
      </c>
      <c r="D242" t="s">
        <v>218</v>
      </c>
    </row>
    <row r="243" spans="1:4">
      <c r="B243" t="s">
        <v>425</v>
      </c>
      <c r="C243" t="s">
        <v>78</v>
      </c>
      <c r="D243" t="s">
        <v>218</v>
      </c>
    </row>
    <row r="244" spans="1:4">
      <c r="A244" t="s">
        <v>567</v>
      </c>
      <c r="B244" t="s">
        <v>565</v>
      </c>
      <c r="C244" t="s">
        <v>78</v>
      </c>
      <c r="D244" t="s">
        <v>566</v>
      </c>
    </row>
    <row r="245" spans="1:4">
      <c r="A245" t="s">
        <v>570</v>
      </c>
      <c r="B245" t="s">
        <v>569</v>
      </c>
      <c r="C245" t="s">
        <v>78</v>
      </c>
      <c r="D245" t="s">
        <v>566</v>
      </c>
    </row>
    <row r="246" spans="1:4">
      <c r="A246" t="s">
        <v>1374</v>
      </c>
      <c r="B246" t="s">
        <v>1373</v>
      </c>
      <c r="C246" t="s">
        <v>78</v>
      </c>
      <c r="D246" t="s">
        <v>1296</v>
      </c>
    </row>
    <row r="247" spans="1:4">
      <c r="A247" t="s">
        <v>383</v>
      </c>
      <c r="B247" t="s">
        <v>382</v>
      </c>
      <c r="C247" t="s">
        <v>78</v>
      </c>
      <c r="D247" t="s">
        <v>94</v>
      </c>
    </row>
    <row r="248" spans="1:4">
      <c r="A248" t="s">
        <v>837</v>
      </c>
      <c r="B248" t="s">
        <v>836</v>
      </c>
      <c r="C248" t="s">
        <v>78</v>
      </c>
      <c r="D248" t="s">
        <v>406</v>
      </c>
    </row>
    <row r="249" spans="1:4">
      <c r="A249" t="s">
        <v>1207</v>
      </c>
      <c r="B249" t="s">
        <v>1206</v>
      </c>
      <c r="C249" t="s">
        <v>78</v>
      </c>
      <c r="D249" t="s">
        <v>407</v>
      </c>
    </row>
    <row r="250" spans="1:4">
      <c r="A250" t="s">
        <v>580</v>
      </c>
      <c r="B250" t="s">
        <v>579</v>
      </c>
      <c r="C250" t="s">
        <v>78</v>
      </c>
      <c r="D250" t="s">
        <v>133</v>
      </c>
    </row>
    <row r="251" spans="1:4">
      <c r="A251" t="s">
        <v>894</v>
      </c>
      <c r="B251" t="s">
        <v>892</v>
      </c>
      <c r="C251" t="s">
        <v>78</v>
      </c>
      <c r="D251" t="s">
        <v>893</v>
      </c>
    </row>
    <row r="252" spans="1:4">
      <c r="A252" t="s">
        <v>516</v>
      </c>
      <c r="B252" t="s">
        <v>515</v>
      </c>
      <c r="C252" t="s">
        <v>78</v>
      </c>
      <c r="D252" t="s">
        <v>508</v>
      </c>
    </row>
    <row r="253" spans="1:4">
      <c r="A253" t="s">
        <v>520</v>
      </c>
      <c r="B253" t="s">
        <v>519</v>
      </c>
      <c r="C253" t="s">
        <v>78</v>
      </c>
      <c r="D253" t="s">
        <v>508</v>
      </c>
    </row>
    <row r="254" spans="1:4">
      <c r="A254" t="s">
        <v>1345</v>
      </c>
      <c r="B254" t="s">
        <v>1344</v>
      </c>
      <c r="C254" t="s">
        <v>78</v>
      </c>
      <c r="D254" t="s">
        <v>1296</v>
      </c>
    </row>
    <row r="255" spans="1:4">
      <c r="A255" t="s">
        <v>1378</v>
      </c>
      <c r="B255" t="s">
        <v>1377</v>
      </c>
      <c r="C255" t="s">
        <v>78</v>
      </c>
      <c r="D255" t="s">
        <v>1296</v>
      </c>
    </row>
    <row r="256" spans="1:4">
      <c r="A256" t="s">
        <v>639</v>
      </c>
      <c r="B256" t="s">
        <v>638</v>
      </c>
      <c r="C256" t="s">
        <v>78</v>
      </c>
      <c r="D256" t="s">
        <v>262</v>
      </c>
    </row>
    <row r="257" spans="1:4">
      <c r="A257" t="s">
        <v>667</v>
      </c>
      <c r="B257" t="s">
        <v>666</v>
      </c>
      <c r="C257" t="s">
        <v>78</v>
      </c>
      <c r="D257" t="s">
        <v>406</v>
      </c>
    </row>
    <row r="258" spans="1:4">
      <c r="A258" t="s">
        <v>1387</v>
      </c>
      <c r="B258" t="s">
        <v>1386</v>
      </c>
      <c r="C258" t="s">
        <v>78</v>
      </c>
      <c r="D258" t="s">
        <v>1296</v>
      </c>
    </row>
    <row r="259" spans="1:4">
      <c r="A259" t="s">
        <v>1074</v>
      </c>
      <c r="B259" t="s">
        <v>1073</v>
      </c>
      <c r="C259" t="s">
        <v>78</v>
      </c>
      <c r="D259" t="s">
        <v>930</v>
      </c>
    </row>
    <row r="260" spans="1:4">
      <c r="A260" t="s">
        <v>1080</v>
      </c>
      <c r="B260" t="s">
        <v>1079</v>
      </c>
      <c r="C260" t="s">
        <v>78</v>
      </c>
      <c r="D260" t="s">
        <v>930</v>
      </c>
    </row>
    <row r="261" spans="1:4">
      <c r="A261" t="s">
        <v>931</v>
      </c>
      <c r="B261" t="s">
        <v>929</v>
      </c>
      <c r="C261" t="s">
        <v>78</v>
      </c>
      <c r="D261" t="s">
        <v>930</v>
      </c>
    </row>
    <row r="262" spans="1:4">
      <c r="A262" t="s">
        <v>936</v>
      </c>
      <c r="B262" t="s">
        <v>934</v>
      </c>
      <c r="C262" t="s">
        <v>78</v>
      </c>
      <c r="D262" t="s">
        <v>935</v>
      </c>
    </row>
    <row r="263" spans="1:4">
      <c r="A263" t="s">
        <v>924</v>
      </c>
      <c r="B263" t="s">
        <v>922</v>
      </c>
      <c r="C263" t="s">
        <v>78</v>
      </c>
      <c r="D263" t="s">
        <v>923</v>
      </c>
    </row>
    <row r="264" spans="1:4">
      <c r="A264" t="s">
        <v>378</v>
      </c>
      <c r="B264" t="s">
        <v>376</v>
      </c>
      <c r="C264" t="s">
        <v>78</v>
      </c>
      <c r="D264" t="s">
        <v>377</v>
      </c>
    </row>
    <row r="265" spans="1:4">
      <c r="A265" t="s">
        <v>163</v>
      </c>
      <c r="B265" t="s">
        <v>162</v>
      </c>
      <c r="C265" t="s">
        <v>78</v>
      </c>
      <c r="D265" t="s">
        <v>139</v>
      </c>
    </row>
    <row r="266" spans="1:4">
      <c r="A266" t="s">
        <v>548</v>
      </c>
      <c r="B266" t="s">
        <v>547</v>
      </c>
      <c r="C266" t="s">
        <v>78</v>
      </c>
      <c r="D266" t="s">
        <v>539</v>
      </c>
    </row>
    <row r="267" spans="1:4">
      <c r="A267" t="s">
        <v>110</v>
      </c>
      <c r="B267" t="s">
        <v>107</v>
      </c>
      <c r="C267" t="s">
        <v>78</v>
      </c>
      <c r="D267" t="s">
        <v>109</v>
      </c>
    </row>
    <row r="268" spans="1:4">
      <c r="A268" t="s">
        <v>679</v>
      </c>
      <c r="B268" t="s">
        <v>678</v>
      </c>
      <c r="C268" t="s">
        <v>78</v>
      </c>
      <c r="D268" t="s">
        <v>94</v>
      </c>
    </row>
    <row r="269" spans="1:4">
      <c r="A269" t="s">
        <v>676</v>
      </c>
      <c r="B269" t="s">
        <v>675</v>
      </c>
      <c r="C269" t="s">
        <v>78</v>
      </c>
      <c r="D269" t="s">
        <v>94</v>
      </c>
    </row>
    <row r="270" spans="1:4">
      <c r="A270" t="s">
        <v>1058</v>
      </c>
      <c r="B270" t="s">
        <v>1057</v>
      </c>
      <c r="C270" t="s">
        <v>78</v>
      </c>
      <c r="D270" t="s">
        <v>935</v>
      </c>
    </row>
    <row r="271" spans="1:4">
      <c r="A271" t="s">
        <v>166</v>
      </c>
      <c r="B271" t="s">
        <v>165</v>
      </c>
      <c r="C271" t="s">
        <v>78</v>
      </c>
      <c r="D271" t="s">
        <v>139</v>
      </c>
    </row>
    <row r="272" spans="1:4">
      <c r="A272" t="s">
        <v>156</v>
      </c>
      <c r="B272" t="s">
        <v>154</v>
      </c>
      <c r="C272" t="s">
        <v>78</v>
      </c>
      <c r="D272" t="s">
        <v>139</v>
      </c>
    </row>
    <row r="273" spans="1:4">
      <c r="A273" t="s">
        <v>615</v>
      </c>
      <c r="B273" t="s">
        <v>614</v>
      </c>
      <c r="C273" t="s">
        <v>78</v>
      </c>
      <c r="D273" t="s">
        <v>139</v>
      </c>
    </row>
    <row r="274" spans="1:4">
      <c r="A274" t="s">
        <v>865</v>
      </c>
      <c r="B274" t="s">
        <v>864</v>
      </c>
      <c r="C274" t="s">
        <v>78</v>
      </c>
      <c r="D274" t="s">
        <v>249</v>
      </c>
    </row>
    <row r="275" spans="1:4">
      <c r="A275" t="s">
        <v>583</v>
      </c>
      <c r="B275" t="s">
        <v>582</v>
      </c>
      <c r="C275" t="s">
        <v>78</v>
      </c>
      <c r="D275" t="s">
        <v>249</v>
      </c>
    </row>
    <row r="276" spans="1:4">
      <c r="A276" t="s">
        <v>600</v>
      </c>
      <c r="B276" t="s">
        <v>598</v>
      </c>
      <c r="C276" t="s">
        <v>78</v>
      </c>
      <c r="D276" t="s">
        <v>249</v>
      </c>
    </row>
    <row r="277" spans="1:4">
      <c r="A277" t="s">
        <v>595</v>
      </c>
      <c r="B277" t="s">
        <v>594</v>
      </c>
      <c r="C277" t="s">
        <v>78</v>
      </c>
      <c r="D277" t="s">
        <v>249</v>
      </c>
    </row>
    <row r="278" spans="1:4">
      <c r="A278" t="s">
        <v>250</v>
      </c>
      <c r="B278" t="s">
        <v>247</v>
      </c>
      <c r="C278" t="s">
        <v>78</v>
      </c>
      <c r="D278" t="s">
        <v>249</v>
      </c>
    </row>
    <row r="279" spans="1:4">
      <c r="A279" t="s">
        <v>587</v>
      </c>
      <c r="B279" t="s">
        <v>586</v>
      </c>
      <c r="C279" t="s">
        <v>78</v>
      </c>
      <c r="D279" t="s">
        <v>249</v>
      </c>
    </row>
    <row r="280" spans="1:4">
      <c r="A280" t="s">
        <v>591</v>
      </c>
      <c r="B280" t="s">
        <v>590</v>
      </c>
      <c r="C280" t="s">
        <v>78</v>
      </c>
      <c r="D280" t="s">
        <v>249</v>
      </c>
    </row>
    <row r="281" spans="1:4">
      <c r="A281" t="s">
        <v>343</v>
      </c>
      <c r="B281" t="s">
        <v>342</v>
      </c>
      <c r="C281" t="s">
        <v>78</v>
      </c>
      <c r="D281" t="s">
        <v>340</v>
      </c>
    </row>
    <row r="282" spans="1:4">
      <c r="A282" t="s">
        <v>341</v>
      </c>
      <c r="B282" t="s">
        <v>338</v>
      </c>
      <c r="C282" t="s">
        <v>78</v>
      </c>
      <c r="D282" t="s">
        <v>340</v>
      </c>
    </row>
    <row r="283" spans="1:4">
      <c r="A283" t="s">
        <v>1287</v>
      </c>
      <c r="B283" t="s">
        <v>1286</v>
      </c>
      <c r="C283" t="s">
        <v>78</v>
      </c>
      <c r="D283" t="s">
        <v>1283</v>
      </c>
    </row>
    <row r="284" spans="1:4">
      <c r="A284" t="s">
        <v>1294</v>
      </c>
      <c r="B284" t="s">
        <v>1293</v>
      </c>
      <c r="C284" t="s">
        <v>78</v>
      </c>
      <c r="D284" t="s">
        <v>1283</v>
      </c>
    </row>
    <row r="285" spans="1:4">
      <c r="A285" t="s">
        <v>1284</v>
      </c>
      <c r="B285" t="s">
        <v>1282</v>
      </c>
      <c r="C285" t="s">
        <v>78</v>
      </c>
      <c r="D285" t="s">
        <v>1283</v>
      </c>
    </row>
    <row r="286" spans="1:4">
      <c r="A286" t="s">
        <v>423</v>
      </c>
      <c r="B286" t="s">
        <v>421</v>
      </c>
      <c r="C286" t="s">
        <v>78</v>
      </c>
      <c r="D286" t="s">
        <v>407</v>
      </c>
    </row>
    <row r="287" spans="1:4">
      <c r="A287" t="s">
        <v>1215</v>
      </c>
      <c r="B287" t="s">
        <v>1214</v>
      </c>
      <c r="C287" t="s">
        <v>710</v>
      </c>
      <c r="D287" t="s">
        <v>1211</v>
      </c>
    </row>
    <row r="288" spans="1:4">
      <c r="A288" t="s">
        <v>815</v>
      </c>
      <c r="B288" t="s">
        <v>814</v>
      </c>
      <c r="C288" t="s">
        <v>78</v>
      </c>
      <c r="D288" t="s">
        <v>406</v>
      </c>
    </row>
    <row r="289" spans="1:4">
      <c r="B289" t="s">
        <v>821</v>
      </c>
      <c r="C289" t="s">
        <v>78</v>
      </c>
      <c r="D289" t="s">
        <v>642</v>
      </c>
    </row>
    <row r="290" spans="1:4">
      <c r="B290" t="s">
        <v>823</v>
      </c>
      <c r="C290" t="s">
        <v>78</v>
      </c>
      <c r="D290" t="s">
        <v>177</v>
      </c>
    </row>
    <row r="291" spans="1:4">
      <c r="A291" t="s">
        <v>868</v>
      </c>
      <c r="B291" t="s">
        <v>867</v>
      </c>
      <c r="C291" t="s">
        <v>78</v>
      </c>
      <c r="D291" t="s">
        <v>109</v>
      </c>
    </row>
    <row r="292" spans="1:4">
      <c r="A292" t="s">
        <v>696</v>
      </c>
      <c r="B292" t="s">
        <v>695</v>
      </c>
      <c r="C292" t="s">
        <v>78</v>
      </c>
      <c r="D292" t="s">
        <v>94</v>
      </c>
    </row>
    <row r="293" spans="1:4">
      <c r="B293" t="s">
        <v>704</v>
      </c>
      <c r="C293" t="s">
        <v>78</v>
      </c>
      <c r="D293" t="s">
        <v>109</v>
      </c>
    </row>
    <row r="294" spans="1:4">
      <c r="A294" t="s">
        <v>1065</v>
      </c>
      <c r="B294" t="s">
        <v>1064</v>
      </c>
      <c r="C294" t="s">
        <v>78</v>
      </c>
      <c r="D294" t="s">
        <v>935</v>
      </c>
    </row>
    <row r="295" spans="1:4">
      <c r="A295" t="s">
        <v>1086</v>
      </c>
      <c r="B295" t="s">
        <v>1085</v>
      </c>
      <c r="C295" t="s">
        <v>78</v>
      </c>
      <c r="D295" t="s">
        <v>930</v>
      </c>
    </row>
    <row r="296" spans="1:4">
      <c r="A296" t="s">
        <v>1027</v>
      </c>
      <c r="B296" t="s">
        <v>1026</v>
      </c>
      <c r="C296" t="s">
        <v>710</v>
      </c>
      <c r="D296" t="s">
        <v>993</v>
      </c>
    </row>
    <row r="297" spans="1:4">
      <c r="A297" t="s">
        <v>409</v>
      </c>
      <c r="B297" t="s">
        <v>405</v>
      </c>
      <c r="C297" t="s">
        <v>78</v>
      </c>
      <c r="D297" t="s">
        <v>407</v>
      </c>
    </row>
    <row r="298" spans="1:4">
      <c r="B298" t="s">
        <v>841</v>
      </c>
      <c r="C298" t="s">
        <v>78</v>
      </c>
      <c r="D298" t="s">
        <v>407</v>
      </c>
    </row>
    <row r="299" spans="1:4">
      <c r="A299" t="s">
        <v>840</v>
      </c>
      <c r="B299" t="s">
        <v>839</v>
      </c>
      <c r="C299" t="s">
        <v>78</v>
      </c>
      <c r="D299" t="s">
        <v>407</v>
      </c>
    </row>
    <row r="300" spans="1:4">
      <c r="B300" t="s">
        <v>842</v>
      </c>
      <c r="C300" t="s">
        <v>78</v>
      </c>
      <c r="D300" t="s">
        <v>407</v>
      </c>
    </row>
    <row r="301" spans="1:4">
      <c r="A301" t="s">
        <v>415</v>
      </c>
      <c r="B301" t="s">
        <v>414</v>
      </c>
      <c r="C301" t="s">
        <v>78</v>
      </c>
      <c r="D301" t="s">
        <v>407</v>
      </c>
    </row>
    <row r="302" spans="1:4">
      <c r="B302" t="s">
        <v>843</v>
      </c>
      <c r="C302" t="s">
        <v>78</v>
      </c>
      <c r="D302" t="s">
        <v>407</v>
      </c>
    </row>
    <row r="303" spans="1:4">
      <c r="A303" t="s">
        <v>1036</v>
      </c>
      <c r="B303" t="s">
        <v>1035</v>
      </c>
      <c r="C303" t="s">
        <v>78</v>
      </c>
      <c r="D303" t="s">
        <v>1031</v>
      </c>
    </row>
    <row r="304" spans="1:4">
      <c r="A304" t="s">
        <v>1098</v>
      </c>
      <c r="B304" t="s">
        <v>1097</v>
      </c>
      <c r="C304" t="s">
        <v>78</v>
      </c>
      <c r="D304" t="s">
        <v>1031</v>
      </c>
    </row>
    <row r="305" spans="1:4">
      <c r="A305" t="s">
        <v>117</v>
      </c>
      <c r="B305" t="s">
        <v>116</v>
      </c>
      <c r="C305" t="s">
        <v>78</v>
      </c>
      <c r="D305" t="s">
        <v>109</v>
      </c>
    </row>
    <row r="306" spans="1:4">
      <c r="A306" t="s">
        <v>121</v>
      </c>
      <c r="B306" t="s">
        <v>120</v>
      </c>
      <c r="C306" t="s">
        <v>78</v>
      </c>
      <c r="D306" t="s">
        <v>109</v>
      </c>
    </row>
    <row r="307" spans="1:4">
      <c r="A307" t="s">
        <v>1200</v>
      </c>
      <c r="B307" t="s">
        <v>1199</v>
      </c>
      <c r="C307" t="s">
        <v>78</v>
      </c>
      <c r="D307" t="s">
        <v>691</v>
      </c>
    </row>
    <row r="308" spans="1:4">
      <c r="A308" t="s">
        <v>263</v>
      </c>
      <c r="B308" t="s">
        <v>261</v>
      </c>
      <c r="C308" t="s">
        <v>78</v>
      </c>
      <c r="D308" t="s">
        <v>262</v>
      </c>
    </row>
    <row r="309" spans="1:4">
      <c r="A309" t="s">
        <v>1246</v>
      </c>
      <c r="B309" t="s">
        <v>1245</v>
      </c>
      <c r="C309" t="s">
        <v>78</v>
      </c>
      <c r="D309" t="s">
        <v>1225</v>
      </c>
    </row>
    <row r="310" spans="1:4">
      <c r="A310" t="s">
        <v>1242</v>
      </c>
      <c r="B310" t="s">
        <v>1241</v>
      </c>
      <c r="C310" t="s">
        <v>78</v>
      </c>
      <c r="D310" t="s">
        <v>1225</v>
      </c>
    </row>
    <row r="311" spans="1:4">
      <c r="A311" t="s">
        <v>618</v>
      </c>
      <c r="B311" t="s">
        <v>617</v>
      </c>
      <c r="C311" t="s">
        <v>78</v>
      </c>
      <c r="D311" t="s">
        <v>139</v>
      </c>
    </row>
    <row r="312" spans="1:4">
      <c r="A312" t="s">
        <v>159</v>
      </c>
      <c r="B312" t="s">
        <v>158</v>
      </c>
      <c r="C312" t="s">
        <v>78</v>
      </c>
      <c r="D312" t="s">
        <v>139</v>
      </c>
    </row>
    <row r="313" spans="1:4">
      <c r="A313" t="s">
        <v>622</v>
      </c>
      <c r="B313" t="s">
        <v>621</v>
      </c>
      <c r="C313" t="s">
        <v>78</v>
      </c>
      <c r="D313" t="s">
        <v>139</v>
      </c>
    </row>
    <row r="314" spans="1:4">
      <c r="A314" t="s">
        <v>626</v>
      </c>
      <c r="B314" t="s">
        <v>625</v>
      </c>
      <c r="C314" t="s">
        <v>78</v>
      </c>
      <c r="D314" t="s">
        <v>139</v>
      </c>
    </row>
    <row r="315" spans="1:4">
      <c r="A315" t="s">
        <v>1365</v>
      </c>
      <c r="B315" t="s">
        <v>1364</v>
      </c>
      <c r="C315" t="s">
        <v>78</v>
      </c>
      <c r="D315" t="s">
        <v>1296</v>
      </c>
    </row>
    <row r="316" spans="1:4">
      <c r="A316" t="s">
        <v>1342</v>
      </c>
      <c r="B316" t="s">
        <v>1341</v>
      </c>
      <c r="C316" t="s">
        <v>78</v>
      </c>
      <c r="D316" t="s">
        <v>1296</v>
      </c>
    </row>
    <row r="317" spans="1:4">
      <c r="A317" t="s">
        <v>1315</v>
      </c>
      <c r="B317" t="s">
        <v>1314</v>
      </c>
      <c r="C317" t="s">
        <v>78</v>
      </c>
      <c r="D317" t="s">
        <v>1296</v>
      </c>
    </row>
    <row r="318" spans="1:4">
      <c r="A318" t="s">
        <v>395</v>
      </c>
      <c r="B318" t="s">
        <v>394</v>
      </c>
      <c r="C318" t="s">
        <v>78</v>
      </c>
      <c r="D318" t="s">
        <v>94</v>
      </c>
    </row>
    <row r="319" spans="1:4">
      <c r="A319" t="s">
        <v>540</v>
      </c>
      <c r="B319" t="s">
        <v>537</v>
      </c>
      <c r="C319" t="s">
        <v>78</v>
      </c>
      <c r="D319" t="s">
        <v>539</v>
      </c>
    </row>
    <row r="320" spans="1:4">
      <c r="A320" t="s">
        <v>1318</v>
      </c>
      <c r="B320" t="s">
        <v>1317</v>
      </c>
      <c r="C320" t="s">
        <v>78</v>
      </c>
      <c r="D320" t="s">
        <v>1296</v>
      </c>
    </row>
    <row r="321" spans="1:4">
      <c r="A321" t="s">
        <v>1181</v>
      </c>
      <c r="B321" t="s">
        <v>1180</v>
      </c>
      <c r="C321" t="s">
        <v>78</v>
      </c>
      <c r="D321" t="s">
        <v>407</v>
      </c>
    </row>
    <row r="322" spans="1:4">
      <c r="A322" t="s">
        <v>1133</v>
      </c>
      <c r="B322" t="s">
        <v>1132</v>
      </c>
      <c r="C322" t="s">
        <v>78</v>
      </c>
      <c r="D322" t="s">
        <v>935</v>
      </c>
    </row>
    <row r="323" spans="1:4">
      <c r="A323" t="s">
        <v>760</v>
      </c>
      <c r="B323" t="s">
        <v>758</v>
      </c>
      <c r="C323" t="s">
        <v>710</v>
      </c>
      <c r="D323" t="s">
        <v>759</v>
      </c>
    </row>
    <row r="324" spans="1:4">
      <c r="A324" t="s">
        <v>1452</v>
      </c>
      <c r="B324" t="s">
        <v>654</v>
      </c>
      <c r="C324" t="s">
        <v>78</v>
      </c>
      <c r="D324" t="s">
        <v>655</v>
      </c>
    </row>
    <row r="325" spans="1:4">
      <c r="A325" t="s">
        <v>770</v>
      </c>
      <c r="B325" t="s">
        <v>769</v>
      </c>
      <c r="C325" t="s">
        <v>78</v>
      </c>
      <c r="D325" t="s">
        <v>406</v>
      </c>
    </row>
    <row r="326" spans="1:4">
      <c r="B326" t="s">
        <v>773</v>
      </c>
      <c r="C326" t="s">
        <v>78</v>
      </c>
      <c r="D326" t="s">
        <v>774</v>
      </c>
    </row>
    <row r="327" spans="1:4">
      <c r="B327" t="s">
        <v>775</v>
      </c>
      <c r="C327" t="s">
        <v>78</v>
      </c>
      <c r="D327" t="s">
        <v>776</v>
      </c>
    </row>
    <row r="328" spans="1:4">
      <c r="B328" t="s">
        <v>777</v>
      </c>
      <c r="C328" t="s">
        <v>78</v>
      </c>
      <c r="D328" t="s">
        <v>642</v>
      </c>
    </row>
    <row r="329" spans="1:4">
      <c r="B329" t="s">
        <v>779</v>
      </c>
      <c r="C329" t="s">
        <v>78</v>
      </c>
      <c r="D329" t="s">
        <v>780</v>
      </c>
    </row>
    <row r="330" spans="1:4">
      <c r="B330" t="s">
        <v>781</v>
      </c>
      <c r="C330" t="s">
        <v>78</v>
      </c>
      <c r="D330" t="s">
        <v>782</v>
      </c>
    </row>
    <row r="331" spans="1:4">
      <c r="A331" t="s">
        <v>1385</v>
      </c>
      <c r="B331" t="s">
        <v>1384</v>
      </c>
      <c r="C331" t="s">
        <v>78</v>
      </c>
      <c r="D331" t="s">
        <v>1296</v>
      </c>
    </row>
    <row r="332" spans="1:4">
      <c r="A332" t="s">
        <v>643</v>
      </c>
      <c r="B332" t="s">
        <v>641</v>
      </c>
      <c r="C332" t="s">
        <v>78</v>
      </c>
      <c r="D332" t="s">
        <v>642</v>
      </c>
    </row>
    <row r="333" spans="1:4">
      <c r="A333" t="s">
        <v>670</v>
      </c>
      <c r="B333" t="s">
        <v>669</v>
      </c>
      <c r="C333" t="s">
        <v>78</v>
      </c>
      <c r="D333" t="s">
        <v>406</v>
      </c>
    </row>
    <row r="334" spans="1:4">
      <c r="A334" t="s">
        <v>784</v>
      </c>
      <c r="B334" t="s">
        <v>783</v>
      </c>
      <c r="C334" t="s">
        <v>78</v>
      </c>
      <c r="D334" t="s">
        <v>406</v>
      </c>
    </row>
    <row r="335" spans="1:4">
      <c r="B335" t="s">
        <v>788</v>
      </c>
      <c r="C335" t="s">
        <v>78</v>
      </c>
      <c r="D335" t="s">
        <v>774</v>
      </c>
    </row>
    <row r="336" spans="1:4">
      <c r="B336" t="s">
        <v>789</v>
      </c>
      <c r="C336" t="s">
        <v>78</v>
      </c>
      <c r="D336" t="s">
        <v>776</v>
      </c>
    </row>
    <row r="337" spans="1:4">
      <c r="B337" t="s">
        <v>790</v>
      </c>
      <c r="C337" t="s">
        <v>78</v>
      </c>
      <c r="D337" t="s">
        <v>642</v>
      </c>
    </row>
    <row r="338" spans="1:4">
      <c r="B338" t="s">
        <v>792</v>
      </c>
      <c r="C338" t="s">
        <v>78</v>
      </c>
      <c r="D338" t="s">
        <v>780</v>
      </c>
    </row>
    <row r="339" spans="1:4">
      <c r="B339" t="s">
        <v>793</v>
      </c>
      <c r="C339" t="s">
        <v>78</v>
      </c>
      <c r="D339" t="s">
        <v>782</v>
      </c>
    </row>
    <row r="340" spans="1:4">
      <c r="A340" t="s">
        <v>795</v>
      </c>
      <c r="B340" t="s">
        <v>794</v>
      </c>
      <c r="C340" t="s">
        <v>78</v>
      </c>
      <c r="D340" t="s">
        <v>406</v>
      </c>
    </row>
    <row r="341" spans="1:4">
      <c r="B341" t="s">
        <v>797</v>
      </c>
      <c r="C341" t="s">
        <v>78</v>
      </c>
      <c r="D341" t="s">
        <v>774</v>
      </c>
    </row>
    <row r="342" spans="1:4">
      <c r="B342" t="s">
        <v>798</v>
      </c>
      <c r="C342" t="s">
        <v>78</v>
      </c>
      <c r="D342" t="s">
        <v>776</v>
      </c>
    </row>
    <row r="343" spans="1:4">
      <c r="B343" t="s">
        <v>799</v>
      </c>
      <c r="C343" t="s">
        <v>78</v>
      </c>
      <c r="D343" t="s">
        <v>642</v>
      </c>
    </row>
    <row r="344" spans="1:4">
      <c r="B344" t="s">
        <v>801</v>
      </c>
      <c r="C344" t="s">
        <v>78</v>
      </c>
      <c r="D344" t="s">
        <v>780</v>
      </c>
    </row>
    <row r="345" spans="1:4">
      <c r="B345" t="s">
        <v>802</v>
      </c>
      <c r="C345" t="s">
        <v>78</v>
      </c>
      <c r="D345" t="s">
        <v>782</v>
      </c>
    </row>
    <row r="346" spans="1:4">
      <c r="A346" t="s">
        <v>650</v>
      </c>
      <c r="B346" t="s">
        <v>648</v>
      </c>
      <c r="C346" t="s">
        <v>78</v>
      </c>
      <c r="D346" t="s">
        <v>649</v>
      </c>
    </row>
    <row r="347" spans="1:4">
      <c r="A347" t="s">
        <v>973</v>
      </c>
      <c r="B347" t="s">
        <v>972</v>
      </c>
      <c r="C347" t="s">
        <v>78</v>
      </c>
      <c r="D347" t="s">
        <v>691</v>
      </c>
    </row>
    <row r="348" spans="1:4">
      <c r="A348" t="s">
        <v>941</v>
      </c>
      <c r="B348" t="s">
        <v>939</v>
      </c>
      <c r="C348" t="s">
        <v>78</v>
      </c>
      <c r="D348" t="s">
        <v>642</v>
      </c>
    </row>
    <row r="349" spans="1:4">
      <c r="B349" t="s">
        <v>946</v>
      </c>
      <c r="C349" t="s">
        <v>78</v>
      </c>
      <c r="D349" t="s">
        <v>642</v>
      </c>
    </row>
    <row r="350" spans="1:4">
      <c r="B350" t="s">
        <v>963</v>
      </c>
      <c r="C350" t="s">
        <v>78</v>
      </c>
      <c r="D350" t="s">
        <v>406</v>
      </c>
    </row>
    <row r="351" spans="1:4">
      <c r="A351" t="s">
        <v>1453</v>
      </c>
      <c r="B351" t="s">
        <v>1194</v>
      </c>
      <c r="C351" t="s">
        <v>78</v>
      </c>
      <c r="D351" t="s">
        <v>406</v>
      </c>
    </row>
    <row r="352" spans="1:4">
      <c r="A352" t="s">
        <v>1083</v>
      </c>
      <c r="B352" t="s">
        <v>1082</v>
      </c>
      <c r="C352" t="s">
        <v>78</v>
      </c>
      <c r="D352" t="s">
        <v>930</v>
      </c>
    </row>
    <row r="353" spans="1:4">
      <c r="A353" t="s">
        <v>1124</v>
      </c>
      <c r="B353" t="s">
        <v>1123</v>
      </c>
      <c r="C353" t="s">
        <v>78</v>
      </c>
      <c r="D353" t="s">
        <v>935</v>
      </c>
    </row>
    <row r="354" spans="1:4">
      <c r="A354" t="s">
        <v>1130</v>
      </c>
      <c r="B354" t="s">
        <v>1129</v>
      </c>
      <c r="C354" t="s">
        <v>78</v>
      </c>
      <c r="D354" t="s">
        <v>935</v>
      </c>
    </row>
    <row r="355" spans="1:4">
      <c r="A355" t="s">
        <v>1093</v>
      </c>
      <c r="B355" t="s">
        <v>1092</v>
      </c>
      <c r="C355" t="s">
        <v>78</v>
      </c>
      <c r="D355" t="s">
        <v>930</v>
      </c>
    </row>
    <row r="356" spans="1:4">
      <c r="A356" t="s">
        <v>749</v>
      </c>
      <c r="B356" t="s">
        <v>748</v>
      </c>
      <c r="C356" t="s">
        <v>710</v>
      </c>
      <c r="D356" t="s">
        <v>711</v>
      </c>
    </row>
    <row r="357" spans="1:4">
      <c r="A357" t="s">
        <v>712</v>
      </c>
      <c r="B357" t="s">
        <v>709</v>
      </c>
      <c r="C357" t="s">
        <v>710</v>
      </c>
      <c r="D357" t="s">
        <v>711</v>
      </c>
    </row>
    <row r="358" spans="1:4">
      <c r="A358" t="s">
        <v>1004</v>
      </c>
      <c r="B358" t="s">
        <v>449</v>
      </c>
      <c r="C358" t="s">
        <v>710</v>
      </c>
      <c r="D358" t="s">
        <v>406</v>
      </c>
    </row>
    <row r="359" spans="1:4">
      <c r="A359" t="s">
        <v>492</v>
      </c>
      <c r="B359" t="s">
        <v>489</v>
      </c>
      <c r="C359" t="s">
        <v>78</v>
      </c>
      <c r="D359" t="s">
        <v>491</v>
      </c>
    </row>
    <row r="360" spans="1:4">
      <c r="A360" t="s">
        <v>1095</v>
      </c>
      <c r="B360" t="s">
        <v>1094</v>
      </c>
      <c r="C360" t="s">
        <v>78</v>
      </c>
      <c r="D360" t="s">
        <v>930</v>
      </c>
    </row>
    <row r="361" spans="1:4">
      <c r="A361" t="s">
        <v>237</v>
      </c>
      <c r="B361" t="s">
        <v>236</v>
      </c>
      <c r="C361" t="s">
        <v>78</v>
      </c>
      <c r="D361" t="s">
        <v>231</v>
      </c>
    </row>
    <row r="362" spans="1:4">
      <c r="B362" t="s">
        <v>298</v>
      </c>
      <c r="C362" t="s">
        <v>78</v>
      </c>
      <c r="D362" t="s">
        <v>231</v>
      </c>
    </row>
    <row r="363" spans="1:4">
      <c r="A363" t="s">
        <v>1333</v>
      </c>
      <c r="B363" t="s">
        <v>1332</v>
      </c>
      <c r="C363" t="s">
        <v>78</v>
      </c>
      <c r="D363" t="s">
        <v>1296</v>
      </c>
    </row>
    <row r="364" spans="1:4">
      <c r="A364" t="s">
        <v>271</v>
      </c>
      <c r="B364" t="s">
        <v>268</v>
      </c>
      <c r="C364" t="s">
        <v>78</v>
      </c>
      <c r="D364" t="s">
        <v>270</v>
      </c>
    </row>
    <row r="365" spans="1:4">
      <c r="A365" t="s">
        <v>686</v>
      </c>
      <c r="B365" t="s">
        <v>685</v>
      </c>
      <c r="C365" t="s">
        <v>78</v>
      </c>
      <c r="D365" t="s">
        <v>682</v>
      </c>
    </row>
    <row r="366" spans="1:4">
      <c r="A366" t="s">
        <v>969</v>
      </c>
      <c r="B366" t="s">
        <v>967</v>
      </c>
      <c r="C366" t="s">
        <v>78</v>
      </c>
      <c r="D366" t="s">
        <v>968</v>
      </c>
    </row>
    <row r="367" spans="1:4">
      <c r="A367" t="s">
        <v>966</v>
      </c>
      <c r="B367" t="s">
        <v>965</v>
      </c>
      <c r="C367" t="s">
        <v>78</v>
      </c>
      <c r="D367" t="s">
        <v>776</v>
      </c>
    </row>
    <row r="368" spans="1:4">
      <c r="A368" t="s">
        <v>897</v>
      </c>
      <c r="B368" t="s">
        <v>896</v>
      </c>
      <c r="C368" t="s">
        <v>78</v>
      </c>
      <c r="D368" t="s">
        <v>462</v>
      </c>
    </row>
    <row r="369" spans="1:4">
      <c r="A369" t="s">
        <v>910</v>
      </c>
      <c r="B369" t="s">
        <v>909</v>
      </c>
      <c r="C369" t="s">
        <v>78</v>
      </c>
      <c r="D369" t="s">
        <v>139</v>
      </c>
    </row>
    <row r="370" spans="1:4">
      <c r="A370" t="s">
        <v>915</v>
      </c>
      <c r="B370" t="s">
        <v>914</v>
      </c>
      <c r="C370" t="s">
        <v>78</v>
      </c>
      <c r="D370" t="s">
        <v>139</v>
      </c>
    </row>
    <row r="371" spans="1:4">
      <c r="A371" t="s">
        <v>919</v>
      </c>
      <c r="B371" t="s">
        <v>918</v>
      </c>
      <c r="C371" t="s">
        <v>78</v>
      </c>
      <c r="D371" t="s">
        <v>139</v>
      </c>
    </row>
    <row r="372" spans="1:4">
      <c r="A372" t="s">
        <v>767</v>
      </c>
      <c r="B372" t="s">
        <v>766</v>
      </c>
      <c r="C372" t="s">
        <v>710</v>
      </c>
      <c r="D372" t="s">
        <v>139</v>
      </c>
    </row>
    <row r="373" spans="1:4">
      <c r="A373" t="s">
        <v>1407</v>
      </c>
      <c r="B373" t="s">
        <v>1405</v>
      </c>
      <c r="C373" t="s">
        <v>78</v>
      </c>
      <c r="D373" t="s">
        <v>1406</v>
      </c>
    </row>
    <row r="374" spans="1:4">
      <c r="A374" t="s">
        <v>1412</v>
      </c>
      <c r="B374" t="s">
        <v>1410</v>
      </c>
      <c r="C374" t="s">
        <v>78</v>
      </c>
      <c r="D374" t="s">
        <v>94</v>
      </c>
    </row>
    <row r="375" spans="1:4">
      <c r="A375" t="s">
        <v>1416</v>
      </c>
      <c r="B375" t="s">
        <v>1414</v>
      </c>
      <c r="C375" t="s">
        <v>78</v>
      </c>
      <c r="D375" t="s">
        <v>94</v>
      </c>
    </row>
    <row r="376" spans="1:4">
      <c r="A376" t="s">
        <v>1419</v>
      </c>
      <c r="B376" t="s">
        <v>1418</v>
      </c>
      <c r="C376" t="s">
        <v>78</v>
      </c>
      <c r="D376" t="s">
        <v>94</v>
      </c>
    </row>
    <row r="377" spans="1:4">
      <c r="A377" t="s">
        <v>1424</v>
      </c>
      <c r="B377" t="s">
        <v>1422</v>
      </c>
      <c r="C377" t="s">
        <v>78</v>
      </c>
      <c r="D377" t="s">
        <v>94</v>
      </c>
    </row>
    <row r="378" spans="1:4">
      <c r="A378" t="s">
        <v>1428</v>
      </c>
      <c r="B378" t="s">
        <v>1427</v>
      </c>
      <c r="C378" t="s">
        <v>78</v>
      </c>
      <c r="D378" t="s">
        <v>94</v>
      </c>
    </row>
    <row r="379" spans="1:4">
      <c r="A379" t="s">
        <v>1448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3eb98d26-73a2-466e-9718-40633e207a7a">
      <UserInfo>
        <DisplayName>Krishnamoorthy, Nishaa /IN/EXT</DisplayName>
        <AccountId>566</AccountId>
        <AccountType/>
      </UserInfo>
      <UserInfo>
        <DisplayName>Hoffmann, Isabelle (SAF) /FR</DisplayName>
        <AccountId>598</AccountId>
        <AccountType/>
      </UserInfo>
      <UserInfo>
        <DisplayName>Davies, Jacko /IN/EXT</DisplayName>
        <AccountId>599</AccountId>
        <AccountType/>
      </UserInfo>
      <UserInfo>
        <DisplayName>Kundu, Sukannya /IN/EXT</DisplayName>
        <AccountId>600</AccountId>
        <AccountType/>
      </UserInfo>
      <UserInfo>
        <DisplayName>Luo, Chuck /CN</DisplayName>
        <AccountId>602</AccountId>
        <AccountType/>
      </UserInfo>
    </SharedWithUsers>
    <lcf76f155ced4ddcb4097134ff3c332f xmlns="ab235b86-169a-42bd-983b-900492f187b9">
      <Terms xmlns="http://schemas.microsoft.com/office/infopath/2007/PartnerControls"/>
    </lcf76f155ced4ddcb4097134ff3c332f>
    <TaxCatchAll xmlns="3c35e321-f73a-4dae-ae38-a0459de24735" xsi:nil="true"/>
    <Typeofleave xmlns="ab235b86-169a-42bd-983b-900492f187b9" xsi:nil="true"/>
    <Status xmlns="ab235b86-169a-42bd-983b-900492f187b9" xsi:nil="true"/>
    <Enddate xmlns="ab235b86-169a-42bd-983b-900492f187b9" xsi:nil="true"/>
    <Startdate xmlns="ab235b86-169a-42bd-983b-900492f187b9" xsi:nil="true"/>
    <Reasonforleave xmlns="ab235b86-169a-42bd-983b-900492f187b9"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ABDCEC1CB6F18E4492C03BFC384C1DEC" ma:contentTypeVersion="23" ma:contentTypeDescription="Create a new document." ma:contentTypeScope="" ma:versionID="79c4133e15b2e001b6799695a0cfecbc">
  <xsd:schema xmlns:xsd="http://www.w3.org/2001/XMLSchema" xmlns:xs="http://www.w3.org/2001/XMLSchema" xmlns:p="http://schemas.microsoft.com/office/2006/metadata/properties" xmlns:ns2="ab235b86-169a-42bd-983b-900492f187b9" xmlns:ns3="3eb98d26-73a2-466e-9718-40633e207a7a" xmlns:ns4="3c35e321-f73a-4dae-ae38-a0459de24735" targetNamespace="http://schemas.microsoft.com/office/2006/metadata/properties" ma:root="true" ma:fieldsID="0c83f1892c677fee209e90a145c733ae" ns2:_="" ns3:_="" ns4:_="">
    <xsd:import namespace="ab235b86-169a-42bd-983b-900492f187b9"/>
    <xsd:import namespace="3eb98d26-73a2-466e-9718-40633e207a7a"/>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lcf76f155ced4ddcb4097134ff3c332f" minOccurs="0"/>
                <xsd:element ref="ns4:TaxCatchAll" minOccurs="0"/>
                <xsd:element ref="ns2:MediaServiceSearchProperties" minOccurs="0"/>
                <xsd:element ref="ns2:MediaServiceBillingMetadata" minOccurs="0"/>
                <xsd:element ref="ns2:Status" minOccurs="0"/>
                <xsd:element ref="ns2:Startdate" minOccurs="0"/>
                <xsd:element ref="ns2:Enddate" minOccurs="0"/>
                <xsd:element ref="ns2:Reasonforleave" minOccurs="0"/>
                <xsd:element ref="ns2:Typeofleav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235b86-169a-42bd-983b-900492f187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Status" ma:index="26" nillable="true" ma:displayName="Status " ma:internalName="Status">
      <xsd:simpleType>
        <xsd:restriction base="dms:Text">
          <xsd:maxLength value="255"/>
        </xsd:restriction>
      </xsd:simpleType>
    </xsd:element>
    <xsd:element name="Startdate" ma:index="27" nillable="true" ma:displayName="Start date" ma:format="DateOnly" ma:internalName="Startdate">
      <xsd:simpleType>
        <xsd:restriction base="dms:DateTime"/>
      </xsd:simpleType>
    </xsd:element>
    <xsd:element name="Enddate" ma:index="28" nillable="true" ma:displayName="End date" ma:format="DateOnly" ma:internalName="Enddate">
      <xsd:simpleType>
        <xsd:restriction base="dms:DateTime"/>
      </xsd:simpleType>
    </xsd:element>
    <xsd:element name="Reasonforleave" ma:index="29" nillable="true" ma:displayName="Reason for leave" ma:format="Dropdown" ma:internalName="Reasonforleave">
      <xsd:simpleType>
        <xsd:restriction base="dms:Text">
          <xsd:maxLength value="255"/>
        </xsd:restriction>
      </xsd:simpleType>
    </xsd:element>
    <xsd:element name="Typeofleave" ma:index="30" nillable="true" ma:displayName="Type of leave " ma:format="Dropdown" ma:internalName="Typeofleave">
      <xsd:simpleType>
        <xsd:restriction base="dms:Choice">
          <xsd:enumeration value="Sick leave"/>
          <xsd:enumeration value="Annual leave"/>
          <xsd:enumeration value="Paternal leave"/>
          <xsd:enumeration value="Maternal leave"/>
        </xsd:restriction>
      </xsd:simpleType>
    </xsd:element>
  </xsd:schema>
  <xsd:schema xmlns:xsd="http://www.w3.org/2001/XMLSchema" xmlns:xs="http://www.w3.org/2001/XMLSchema" xmlns:dms="http://schemas.microsoft.com/office/2006/documentManagement/types" xmlns:pc="http://schemas.microsoft.com/office/infopath/2007/PartnerControls" targetNamespace="3eb98d26-73a2-466e-9718-40633e207a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1e6b836f-45dc-48b4-bb47-a3cca5c3e74e}" ma:internalName="TaxCatchAll" ma:showField="CatchAllData" ma:web="3eb98d26-73a2-466e-9718-40633e207a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AF7518-97D3-4AD1-B9A3-5534AC63B00E}">
  <ds:schemaRefs>
    <ds:schemaRef ds:uri="http://schemas.microsoft.com/sharepoint/v3/contenttype/forms"/>
  </ds:schemaRefs>
</ds:datastoreItem>
</file>

<file path=customXml/itemProps2.xml><?xml version="1.0" encoding="utf-8"?>
<ds:datastoreItem xmlns:ds="http://schemas.openxmlformats.org/officeDocument/2006/customXml" ds:itemID="{068A83A6-9A03-4DD8-98A1-6562A8C2A60A}">
  <ds:schemaRefs>
    <ds:schemaRef ds:uri="http://schemas.microsoft.com/office/2006/metadata/properties"/>
    <ds:schemaRef ds:uri="http://schemas.microsoft.com/office/infopath/2007/PartnerControls"/>
    <ds:schemaRef ds:uri="3eb98d26-73a2-466e-9718-40633e207a7a"/>
    <ds:schemaRef ds:uri="ab235b86-169a-42bd-983b-900492f187b9"/>
    <ds:schemaRef ds:uri="3c35e321-f73a-4dae-ae38-a0459de24735"/>
  </ds:schemaRefs>
</ds:datastoreItem>
</file>

<file path=customXml/itemProps3.xml><?xml version="1.0" encoding="utf-8"?>
<ds:datastoreItem xmlns:ds="http://schemas.openxmlformats.org/officeDocument/2006/customXml" ds:itemID="{82A28973-0831-4173-B148-A6A597FEA99A}">
  <ds:schemaRefs>
    <ds:schemaRef ds:uri="http://schemas.microsoft.com/DataMashup"/>
  </ds:schemaRefs>
</ds:datastoreItem>
</file>

<file path=customXml/itemProps4.xml><?xml version="1.0" encoding="utf-8"?>
<ds:datastoreItem xmlns:ds="http://schemas.openxmlformats.org/officeDocument/2006/customXml" ds:itemID="{721191D8-41EC-4F8A-B930-1FD6C99387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235b86-169a-42bd-983b-900492f187b9"/>
    <ds:schemaRef ds:uri="3eb98d26-73a2-466e-9718-40633e207a7a"/>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7</vt:i4>
      </vt:variant>
    </vt:vector>
  </HeadingPairs>
  <TitlesOfParts>
    <vt:vector size="7" baseType="lpstr">
      <vt:lpstr>How TO</vt:lpstr>
      <vt:lpstr>Guiding Principles</vt:lpstr>
      <vt:lpstr>Version History</vt:lpstr>
      <vt:lpstr>IMS - PMS - WU Catalog</vt:lpstr>
      <vt:lpstr>Deletions</vt:lpstr>
      <vt:lpstr>PT-AIMS</vt:lpstr>
      <vt:lpstr>PT-AIMS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JC</dc:creator>
  <cp:keywords/>
  <dc:description/>
  <cp:lastModifiedBy>Kaliyaperumal, Jayashankar (Cognizant)</cp:lastModifiedBy>
  <cp:revision/>
  <dcterms:created xsi:type="dcterms:W3CDTF">2022-03-21T21:41:21Z</dcterms:created>
  <dcterms:modified xsi:type="dcterms:W3CDTF">2026-06-16T10:21:56Z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0x010100ABDCEC1CB6F18E4492C03BFC384C1DEC</vt:lpwstr>
  </property>
  <property fmtid="{D5CDD505-2E9C-101B-9397-08002B2CF9AE}" pid="3" name="xd_Signature">
    <vt:bool>false</vt:bool>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MSIP_Label_9e3dcb88-8425-4e1d-b1a3-bd5572915bbc_Enabled">
    <vt:lpwstr>true</vt:lpwstr>
  </property>
  <property fmtid="{D5CDD505-2E9C-101B-9397-08002B2CF9AE}" pid="10" name="MSIP_Label_9e3dcb88-8425-4e1d-b1a3-bd5572915bbc_SetDate">
    <vt:lpwstr>2023-04-07T14:48:21Z</vt:lpwstr>
  </property>
  <property fmtid="{D5CDD505-2E9C-101B-9397-08002B2CF9AE}" pid="11" name="MSIP_Label_9e3dcb88-8425-4e1d-b1a3-bd5572915bbc_Method">
    <vt:lpwstr>Standard</vt:lpwstr>
  </property>
  <property fmtid="{D5CDD505-2E9C-101B-9397-08002B2CF9AE}" pid="12" name="MSIP_Label_9e3dcb88-8425-4e1d-b1a3-bd5572915bbc_Name">
    <vt:lpwstr>Internal</vt:lpwstr>
  </property>
  <property fmtid="{D5CDD505-2E9C-101B-9397-08002B2CF9AE}" pid="13" name="MSIP_Label_9e3dcb88-8425-4e1d-b1a3-bd5572915bbc_SiteId">
    <vt:lpwstr>aca3c8d6-aa71-4e1a-a10e-03572fc58c0b</vt:lpwstr>
  </property>
  <property fmtid="{D5CDD505-2E9C-101B-9397-08002B2CF9AE}" pid="14" name="MSIP_Label_9e3dcb88-8425-4e1d-b1a3-bd5572915bbc_ActionId">
    <vt:lpwstr>117f8fd4-f80d-418f-9f88-10447e729230</vt:lpwstr>
  </property>
  <property fmtid="{D5CDD505-2E9C-101B-9397-08002B2CF9AE}" pid="15" name="MSIP_Label_9e3dcb88-8425-4e1d-b1a3-bd5572915bbc_ContentBits">
    <vt:lpwstr>1</vt:lpwstr>
  </property>
  <property fmtid="{D5CDD505-2E9C-101B-9397-08002B2CF9AE}" pid="16" name="MediaServiceImageTags">
    <vt:lpwstr/>
  </property>
</Properties>
</file>